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2027" sheetId="2" r:id="rId6"/>
    <sheet state="visible" name="Pretensões 2027" sheetId="3" r:id="rId7"/>
    <sheet state="hidden" name="Base de Dados" sheetId="4" r:id="rId8"/>
    <sheet state="visible" name="MODELO_FICHA" sheetId="5" r:id="rId9"/>
    <sheet state="visible" name="C01" sheetId="6" r:id="rId10"/>
    <sheet state="hidden" name="Listas" sheetId="7" r:id="rId11"/>
  </sheets>
  <definedNames>
    <definedName name="ListaContratos">'2027'!$E$8:$E$107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tc={a35cb7bc-23a8-441d-964f-92606e78aef4}</author>
  </authors>
  <commentList>
    <comment authorId="0" ref="I7">
      <text>
        <t xml:space="preserve">Lista suspensa: clique em qualquer célula desta coluna (abaixo do cabeçalho) e selecione Contrato Continuado, Contrato não continuado ou Contrato por Escopo. Não é permitido digitar texto livre. Consulte a aba Instruções para as definições.</t>
      </text>
    </comment>
    <comment authorId="0" ref="J7">
      <text>
        <t xml:space="preserve">Lista suspensa: clique em qualquer célula desta coluna (abaixo do cabeçalho) e selecione Ordinário, Global ou Estimativo. Não é permitido digitar texto livre. Consulte a aba Instruções para as definições.</t>
      </text>
    </comment>
    <comment authorId="0" ref="E7">
      <text>
        <t xml:space="preserve">Forma mínima obrigatória: 1–99 com dois dígitos (ex.: 16/2026); 100+ com três dígitos (ex.: 100/2026). Sem zero à esquerda desnecessário (016/2026 é inválido).</t>
      </text>
    </comment>
    <comment authorId="0" ref="F7">
      <text>
        <t xml:space="preserve">Lista suspensa: clique em qualquer célula desta coluna (abaixo do cabeçalho) e selecione um dos tipos de objeto disponíveis (obras, serviços, compras, concessões, parcerias etc.). Não é permitido digitar texto livre. Consulte a aba Instruções para o detalhamento de cada opção.</t>
      </text>
    </comment>
    <comment authorId="1" xr:uid="{a35cb7bc-23a8-441d-964f-92606e78aef4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Nessa coluna, colocar os meses vigentes de despesas do contrato (continuado ou não) no exercício 2027! Obs.: Se um contrato terá vigência até junho de 2027 e a unidade já tem pretensão de renovar a vigência, os meses de despesas em 2027 serão de 12 meses.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tc={211a5456-f4f2-4cd1-af63-0caebff8c371}</author>
    <author>tc={51177863-b705-45b4-a8b0-f9cbba8af8de}</author>
  </authors>
  <commentList>
    <comment authorId="0" xr:uid="{211a5456-f4f2-4cd1-af63-0caebff8c371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retirar
duplicados
</t>
      </text>
    </comment>
    <comment authorId="1" xr:uid="{51177863-b705-45b4-a8b0-f9cbba8af8de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Juntar valores gestão de frota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Número sequencial (aba 2026)</t>
      </text>
    </comment>
    <comment authorId="0" ref="B3">
      <text>
        <t xml:space="preserve">Nome exato da aba da ficha individual deste contrato. Ao criar uma nova ficha, digite aqui o nome da aba para conectar automaticamente as colunas azuis.</t>
      </text>
    </comment>
    <comment authorId="0" ref="C3">
      <text>
        <t xml:space="preserve">Processo SEI (aba 2026)</t>
      </text>
    </comment>
    <comment authorId="0" ref="D3">
      <text>
        <t xml:space="preserve">Fornecedor (aba 2026)</t>
      </text>
    </comment>
    <comment authorId="0" ref="E3">
      <text>
        <t xml:space="preserve">CPF/CNPJ (aba 2026)</t>
      </text>
    </comment>
    <comment authorId="0" ref="F3">
      <text>
        <t xml:space="preserve">Nº/ano do contrato (aba 2026)</t>
      </text>
    </comment>
    <comment authorId="0" ref="G3">
      <text>
        <t xml:space="preserve">Tipo de objeto (aba 2026)</t>
      </text>
    </comment>
    <comment authorId="0" ref="H3">
      <text>
        <t xml:space="preserve">Objeto (aba 2026)</t>
      </text>
    </comment>
    <comment authorId="0" ref="I3">
      <text>
        <t xml:space="preserve">Resumo curto p/ dashboard</t>
      </text>
    </comment>
    <comment authorId="0" ref="J3">
      <text>
        <t xml:space="preserve">Regime (aba 2026)</t>
      </text>
    </comment>
    <comment authorId="0" ref="K3">
      <text>
        <t xml:space="preserve">Ação orçamentária (aba 2026)</t>
      </text>
    </comment>
    <comment authorId="0" ref="L3">
      <text>
        <t xml:space="preserve">Tipo de empenho (aba 2026)</t>
      </text>
    </comment>
    <comment authorId="0" ref="M3">
      <text>
        <t xml:space="preserve">Início vigência (aba 2026)</t>
      </text>
    </comment>
    <comment authorId="0" ref="N3">
      <text>
        <t xml:space="preserve">Término vigência (aba 2026)</t>
      </text>
    </comment>
    <comment authorId="0" ref="O3">
      <text>
        <t xml:space="preserve">Secretaria/unidade gestora</t>
      </text>
    </comment>
    <comment authorId="0" ref="P3">
      <text>
        <t xml:space="preserve">Centro de custo</t>
      </text>
    </comment>
    <comment authorId="0" ref="Q3">
      <text>
        <t xml:space="preserve">Alimentado pela ficha do contrato</t>
      </text>
    </comment>
    <comment authorId="0" ref="R3">
      <text>
        <t xml:space="preserve">Alimentado pela ficha</t>
      </text>
    </comment>
    <comment authorId="0" ref="S3">
      <text>
        <t xml:space="preserve">Elemento de despesa</t>
      </text>
    </comment>
    <comment authorId="0" ref="T3">
      <text>
        <t xml:space="preserve">Alimentado pela ficha</t>
      </text>
    </comment>
    <comment authorId="0" ref="U3">
      <text>
        <t xml:space="preserve">Corrente/Capital</t>
      </text>
    </comment>
    <comment authorId="0" ref="V3">
      <text>
        <t xml:space="preserve">Pregão, Concorrência...</t>
      </text>
    </comment>
    <comment authorId="0" ref="W3">
      <text>
        <t xml:space="preserve">Serviço, Obra, Fornecimento</t>
      </text>
    </comment>
    <comment authorId="0" ref="X3">
      <text>
        <t xml:space="preserve">Alimentado pela ficha</t>
      </text>
    </comment>
    <comment authorId="0" ref="Y3">
      <text>
        <t xml:space="preserve">Alimentado pela ficha</t>
      </text>
    </comment>
    <comment authorId="0" ref="Z3">
      <text>
        <t xml:space="preserve">Alimentado pela ficha</t>
      </text>
    </comment>
    <comment authorId="0" ref="AA3">
      <text>
        <t xml:space="preserve">Alimentado pela ficha</t>
      </text>
    </comment>
    <comment authorId="0" ref="AB3">
      <text>
        <t xml:space="preserve">Alimentado pela ficha (lista suspensa)</t>
      </text>
    </comment>
    <comment authorId="0" ref="AC3">
      <text>
        <t xml:space="preserve">Ex.: 2026</t>
      </text>
    </comment>
    <comment authorId="0" ref="AD3">
      <text>
        <t xml:space="preserve">Valor mensal (aba 2026)</t>
      </text>
    </comment>
    <comment authorId="0" ref="AE3">
      <text>
        <t xml:space="preserve">Meses vigentes (aba 2026)</t>
      </text>
    </comment>
    <comment authorId="0" ref="AF3">
      <text>
        <t xml:space="preserve">Valor total (aba 2026)</t>
      </text>
    </comment>
    <comment authorId="0" ref="AG3">
      <text>
        <t xml:space="preserve">Dotação inicial (R$)</t>
      </text>
    </comment>
    <comment authorId="0" ref="AH3">
      <text>
        <t xml:space="preserve">Dotação atualizada (R$)</t>
      </text>
    </comment>
    <comment authorId="0" ref="AI3">
      <text>
        <t xml:space="preserve">Empenhado (aba 2026)</t>
      </text>
    </comment>
    <comment authorId="0" ref="AJ3">
      <text>
        <t xml:space="preserve">Soma da tabela de liquidação da ficha</t>
      </text>
    </comment>
    <comment authorId="0" ref="AK3">
      <text>
        <t xml:space="preserve">Soma da tabela de pagamento da ficha</t>
      </text>
    </comment>
    <comment authorId="0" ref="AL3">
      <text>
        <t xml:space="preserve">Saldo a empenhar (aba 2026)</t>
      </text>
    </comment>
    <comment authorId="0" ref="AM3">
      <text>
        <t xml:space="preserve">Empenhado − Liquidado</t>
      </text>
    </comment>
    <comment authorId="0" ref="AN3">
      <text>
        <t xml:space="preserve">Liquidado − Pago</t>
      </text>
    </comment>
    <comment authorId="0" ref="AO3">
      <text>
        <t xml:space="preserve">% empenhado (aba 2026)</t>
      </text>
    </comment>
    <comment authorId="0" ref="AP3">
      <text>
        <t xml:space="preserve">Pago ÷ Total no exercício</t>
      </text>
    </comment>
    <comment authorId="0" ref="AQ3">
      <text>
        <t xml:space="preserve">Restos a pagar (R$)</t>
      </text>
    </comment>
    <comment authorId="0" ref="AR3">
      <text>
        <t xml:space="preserve">Saldo orçamentário (aba 2026)</t>
      </text>
    </comment>
    <comment authorId="0" ref="AS3">
      <text>
        <t xml:space="preserve">Valor a suplementar (aba 2026)</t>
      </text>
    </comment>
    <comment authorId="0" ref="AT3">
      <text>
        <t xml:space="preserve">Executado no mês (R$)</t>
      </text>
    </comment>
    <comment authorId="0" ref="AU3">
      <text>
        <t xml:space="preserve">Acumulado (R$)</t>
      </text>
    </comment>
    <comment authorId="0" ref="AV3">
      <text>
        <t xml:space="preserve">% físico (0 a 1)</t>
      </text>
    </comment>
    <comment authorId="0" ref="AW3">
      <text>
        <t xml:space="preserve">Data da última medição</t>
      </text>
    </comment>
    <comment authorId="0" ref="AX3">
      <text>
        <t xml:space="preserve">Próxima medição</t>
      </text>
    </comment>
    <comment authorId="0" ref="AY3">
      <text>
        <t xml:space="preserve">Maior data de pagamento da ficha</t>
      </text>
    </comment>
    <comment authorId="0" ref="AZ3">
      <text>
        <t xml:space="preserve">Próximo pagamento</t>
      </text>
    </comment>
    <comment authorId="0" ref="BA3">
      <text>
        <t xml:space="preserve">Nº de aditivos lançados na ficha</t>
      </text>
    </comment>
    <comment authorId="0" ref="BB3">
      <text>
        <t xml:space="preserve">Soma dos acréscimos (ficha)</t>
      </text>
    </comment>
    <comment authorId="0" ref="BC3">
      <text>
        <t xml:space="preserve">Soma das supressões (ficha)</t>
      </text>
    </comment>
    <comment authorId="0" ref="BD3">
      <text>
        <t xml:space="preserve">Original + Acréscimos − Supressões</t>
      </text>
    </comment>
    <comment authorId="0" ref="BE3">
      <text>
        <t xml:space="preserve">Maior fim de vigência da ficha</t>
      </text>
    </comment>
    <comment authorId="0" ref="BF3">
      <text>
        <t xml:space="preserve">Justificativa do último aditivo</t>
      </text>
    </comment>
    <comment authorId="0" ref="BG3">
      <text>
        <t xml:space="preserve">Término − Hoje</t>
      </text>
    </comment>
    <comment authorId="0" ref="BH3">
      <text>
        <t xml:space="preserve">Sim se ≤ 90 dias</t>
      </text>
    </comment>
    <comment authorId="0" ref="BI3">
      <text>
        <t xml:space="preserve">Sim se vencido</t>
      </text>
    </comment>
    <comment authorId="0" ref="BJ3">
      <text>
        <t xml:space="preserve">Saldo a empenhar &lt; 20% do total</t>
      </text>
    </comment>
    <comment authorId="0" ref="BK3">
      <text>
        <t xml:space="preserve">Pago &gt; 90% do total</t>
      </text>
    </comment>
    <comment authorId="0" ref="BL3">
      <text>
        <t xml:space="preserve">Último pagamento há mais de 60 dias</t>
      </text>
    </comment>
    <comment authorId="0" ref="BM3">
      <text>
        <t xml:space="preserve">Observações (aba 2026)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sharedStrings.xml><?xml version="1.0" encoding="utf-8"?>
<sst xmlns="http://schemas.openxmlformats.org/spreadsheetml/2006/main" count="822" uniqueCount="467">
  <si>
    <t>COMO PREENCHER — Superintendência Municipal de Distritos - SMD</t>
  </si>
  <si>
    <t>UNIDADE: Superintendência Municipal de Distritos - SMD</t>
  </si>
  <si>
    <t>BASE DE DADOS — DESDOBRAMENTO INDIVIDUALIZADO POR CONTRATO</t>
  </si>
  <si>
    <t>Guia rápido para quem alimenta os dados   •   Fluxo: aba 2027  →  Ficha do contrato  →  Base de Dados  →  Dashboard</t>
  </si>
  <si>
    <t>PLANEJAMENTO DE CONTRATAÇÕES — PRETENSÕES FUTURAS 2027</t>
  </si>
  <si>
    <t xml:space="preserve">  ANTES DE COMEÇAR — ENTENDA AS CORES DAS CÉLULAS</t>
  </si>
  <si>
    <t>BRANCO</t>
  </si>
  <si>
    <t>TOTAL</t>
  </si>
  <si>
    <t>Digitação manual — é aqui que você digita os dados.</t>
  </si>
  <si>
    <t>CONTROLE DE CONTRATOS VIGENTES — 2027</t>
  </si>
  <si>
    <t>BEGE</t>
  </si>
  <si>
    <t>Lista suspensa — clique na célula e ESCOLHA uma opção (digitar livremente é rejeitado).</t>
  </si>
  <si>
    <t>AZUL CLARO</t>
  </si>
  <si>
    <t>Automático — preenche sozinho a partir de outra aba. Bloqueado para digitação.</t>
  </si>
  <si>
    <t>VERDE CLARO</t>
  </si>
  <si>
    <t>1. CADASTRO DO CONTRATO</t>
  </si>
  <si>
    <t>Calculado / alerta — resultado automático de fórmula. Bloqueado para digitação.</t>
  </si>
  <si>
    <t xml:space="preserve">  PASSO 1 — CADASTRE O CONTRATO NA ABA  «2027»</t>
  </si>
  <si>
    <t>2. GESTÃO FINANCEIRA</t>
  </si>
  <si>
    <t>Nº</t>
  </si>
  <si>
    <t>Objeto Pretendido</t>
  </si>
  <si>
    <t>Tipo de Objeto</t>
  </si>
  <si>
    <t>3. CONTROLE DA EXECUÇÃO</t>
  </si>
  <si>
    <t>Quantidade Estimada</t>
  </si>
  <si>
    <t>Unidade de Medida</t>
  </si>
  <si>
    <t>•  Use a primeira linha em branco da tabela (começa na linha 8). Uma linha por contrato, sem pular linhas.</t>
  </si>
  <si>
    <t>Valor Estimado (R$)</t>
  </si>
  <si>
    <t>4. ALTERAÇÕES CONTRATUAIS</t>
  </si>
  <si>
    <t>•  Digite nas células brancas: processo SEI, contratada, CPF/CNPJ, nº do contrato/ano, objeto,</t>
  </si>
  <si>
    <t>Trimestre Previsto para Contratação</t>
  </si>
  <si>
    <t>Grau de Prioridade</t>
  </si>
  <si>
    <t>5. ALERTAS AUTOMÁTICOS</t>
  </si>
  <si>
    <t xml:space="preserve">     datas de vigência (dd/mm/aaaa), valor mensal (apenas números, sem “R$”), meses vigentes e valor empenhado.</t>
  </si>
  <si>
    <t>Fonte de Recursos</t>
  </si>
  <si>
    <t>•  Escolha nas listas bege: Tipo de Objeto, Modalidade de Licitação, Regime de Execução e Tipo de Empenho.</t>
  </si>
  <si>
    <t>Justificativa da Necessidade</t>
  </si>
  <si>
    <t>6. PAGO POR FONTE DE RECURSO</t>
  </si>
  <si>
    <t>Observações</t>
  </si>
  <si>
    <t>•  As colunas azuis calculam sozinhas — ex.: Valor Total no Exercício = Valor Mensal × Meses Vigentes;</t>
  </si>
  <si>
    <t>Nº do Contrato/Ano</t>
  </si>
  <si>
    <t>Manutenção preventiva e corretiva da frota, com aquisição de peças, componentes, pneus e contratação dos serviços necessários</t>
  </si>
  <si>
    <t>Ficha (nome da aba)</t>
  </si>
  <si>
    <t xml:space="preserve">     Saldo a Empenhar = Valor Total − Valor Empenhado. A linha TOTAL, fixa no topo, soma tudo.</t>
  </si>
  <si>
    <t>Nº do Processo SEI</t>
  </si>
  <si>
    <t>Contratada (Nome/Razão Social)</t>
  </si>
  <si>
    <t>CPF/CNPJ da Contratada</t>
  </si>
  <si>
    <t>Objeto do Contrato</t>
  </si>
  <si>
    <t>Regime de Execução</t>
  </si>
  <si>
    <t>Código da Ação</t>
  </si>
  <si>
    <t xml:space="preserve">  ABA «PRETENSÕES 2027» — PLANEJAMENTO DE CONTRATAÇÕES FUTURAS</t>
  </si>
  <si>
    <t>Tipo de Empenho</t>
  </si>
  <si>
    <t>Contrato de Prestação de Serviços Contínuos</t>
  </si>
  <si>
    <t>Início da Vigência</t>
  </si>
  <si>
    <t>Término da Vigência</t>
  </si>
  <si>
    <t>Unidade Gestora</t>
  </si>
  <si>
    <t>Programa</t>
  </si>
  <si>
    <t>Lote anual</t>
  </si>
  <si>
    <t>Natureza da Despesa</t>
  </si>
  <si>
    <t>Elemento de Despesa</t>
  </si>
  <si>
    <t>Fonte de Recurso</t>
  </si>
  <si>
    <t>Categoria Econômica</t>
  </si>
  <si>
    <t>Modalidade de Licitação</t>
  </si>
  <si>
    <t>Fiscal do Contrato</t>
  </si>
  <si>
    <t>Gestor do Contrato</t>
  </si>
  <si>
    <t>Valor Original do Contrato</t>
  </si>
  <si>
    <t>1º Trimestre</t>
  </si>
  <si>
    <t>Data de Assinatura</t>
  </si>
  <si>
    <t>Situação</t>
  </si>
  <si>
    <t>•  Registre as contratações que a unidade PRETENDE realizar em 2027 — uma linha por objeto pretendido.</t>
  </si>
  <si>
    <t>Exercício Financeiro</t>
  </si>
  <si>
    <t>Valor Mensal do Contrato</t>
  </si>
  <si>
    <t>Meses Vigentes no Exercício</t>
  </si>
  <si>
    <t>Alta</t>
  </si>
  <si>
    <t>Valor Total no Exercício</t>
  </si>
  <si>
    <t>•  Digite nas células brancas: objeto, quantidade, unidade de medida, valor estimado (apenas números), justificativa e observações.</t>
  </si>
  <si>
    <t>Dotação Inicial</t>
  </si>
  <si>
    <t>Recursos Livres</t>
  </si>
  <si>
    <t>Dotação Atualizada</t>
  </si>
  <si>
    <t>•  Escolha nas listas bege: Tipo de Objeto, Trimestre Previsto, Grau de Prioridade e Fonte de Recursos.</t>
  </si>
  <si>
    <t>Valor Empenhado no Exercício</t>
  </si>
  <si>
    <t>Assegurar a disponibilidade, a segurança e a continuidade operacional da frota utilizada no atendimento da sede e dos distritos, mediante manutenção preventiva e corretiva e fornecimento dos insumos necessários, reduzindo o risco de indisponibilidade dos veículos e de prejuízo às atividades administrativas e de campo.</t>
  </si>
  <si>
    <t>Valor Liquidado</t>
  </si>
  <si>
    <t>•  A linha TOTAL, no topo, soma o valor estimado automaticamente.</t>
  </si>
  <si>
    <t>Valor Pago</t>
  </si>
  <si>
    <t>Planejamento anual consolidado no valor de R$ 175.000,00, abrangendo peças, componentes, pneus, materiais e serviços de manutenção. A modelagem da contratação, a eventual divisão em itens ou lotes, os quantitativos, as especificações e os preços de referência serão definidos no DFD e nos estudos técnicos, com base na identificação da frota, no histórico de manutenção e em pesquisa de preços.</t>
  </si>
  <si>
    <t>Saldo a Empenhar</t>
  </si>
  <si>
    <t>Saldo a Liquidar</t>
  </si>
  <si>
    <t>Saldo a Pagar</t>
  </si>
  <si>
    <t>% Empenhado no Exercício</t>
  </si>
  <si>
    <t>% Executado (Pago/Total)</t>
  </si>
  <si>
    <t>Aquisição de água mineral para a sede e as 13 unidades distritais</t>
  </si>
  <si>
    <t>Restos a Pagar</t>
  </si>
  <si>
    <t>Saldo Orçamentário da Unidade</t>
  </si>
  <si>
    <t>Contrato de Fornecimento Integral (Compras)</t>
  </si>
  <si>
    <t xml:space="preserve">  PASSO 2 — CRIE A FICHA INDIVIDUAL DE CADA CONTRATO</t>
  </si>
  <si>
    <t>Valor a Suplementar</t>
  </si>
  <si>
    <t>Valor Executado no Mês</t>
  </si>
  <si>
    <t>% Físico Executado</t>
  </si>
  <si>
    <t>Última Medição</t>
  </si>
  <si>
    <t>Próxima Medição</t>
  </si>
  <si>
    <t>Último Pagamento</t>
  </si>
  <si>
    <t>Próximo Pagamento Previsto</t>
  </si>
  <si>
    <t>Qtde de Aditivos</t>
  </si>
  <si>
    <t>O arquivo já vem com a ficha C01 pronta como exemplo. As demais (C02, C03...) você cria a partir do</t>
  </si>
  <si>
    <t>Valor Acrescido (Aditivos)</t>
  </si>
  <si>
    <t>Assegurar o fornecimento contínuo de água potável aos servidores e usuários da sede e das 13 unidades distritais durante o exercício.</t>
  </si>
  <si>
    <t>Valor Suprimido (Aditivos)</t>
  </si>
  <si>
    <t xml:space="preserve">     modelo, à medida que cadastra os contratos. Cada contrato terá a sua própria aba.</t>
  </si>
  <si>
    <t>Novo Valor do Contrato</t>
  </si>
  <si>
    <t>Nova Vigência (após aditivo)</t>
  </si>
  <si>
    <t>Estimativa anual sujeita ao detalhamento dos quantitativos no DFD, considerando o consumo projetado, o estoque disponível e os preços vigentes na data da contratação.</t>
  </si>
  <si>
    <t>Última Justificativa</t>
  </si>
  <si>
    <t>PASSO A PASSO PARA CRIAR A FICHA DE UM CONTRATO (comece sempre pela aba 2027):</t>
  </si>
  <si>
    <t>Dias para Vencer</t>
  </si>
  <si>
    <t>Vence em até 90 dias</t>
  </si>
  <si>
    <t>Contrato Vencido</t>
  </si>
  <si>
    <t>Aquisição de materiais de limpeza e higienização</t>
  </si>
  <si>
    <t>Saldo a Empenhar &lt; 20%</t>
  </si>
  <si>
    <t xml:space="preserve">     1.  Cadastre o contrato na aba 2027 (veja o PASSO 1). É esse cadastro que alimenta a lista de contratos.</t>
  </si>
  <si>
    <t>Execução acima de 90%</t>
  </si>
  <si>
    <t xml:space="preserve">     2.  Clique com o botão direito na aba MODELO_FICHA (a aba de cor teal) e escolha:</t>
  </si>
  <si>
    <t>Sem pagamento há +60 dias</t>
  </si>
  <si>
    <t xml:space="preserve">              • Excel: “Mover ou Copiar…” → marque “Criar uma cópia” → OK.</t>
  </si>
  <si>
    <t>Pago — Recurso Livre</t>
  </si>
  <si>
    <t>Pago — Recurso Vinculado</t>
  </si>
  <si>
    <t>Pago — Convênio</t>
  </si>
  <si>
    <t xml:space="preserve">              • Google Sheets: “Duplicar”.</t>
  </si>
  <si>
    <t>Pago — Operação de Crédito</t>
  </si>
  <si>
    <t>Pago — Emendas Parlamentares</t>
  </si>
  <si>
    <t>Verificação — Pago vs. Fonte</t>
  </si>
  <si>
    <t xml:space="preserve">     3.  Renomeie a aba nova no padrão “Cnn NOME” — dois dígitos e o nome da contratada (ex.: C01 EMPRESA X).</t>
  </si>
  <si>
    <t>Manter condições adequadas de limpeza, higienização, salubridade e conservação nos ambientes da sede e das 13 unidades distritais, prevenindo o desabastecimento de insumos necessários ao funcionamento regular das unidades.</t>
  </si>
  <si>
    <t xml:space="preserve">     4.  Na ficha nova, clique na célula J2 (ao lado do título, no topo) e ESCOLHA o Nº do contrato na lista</t>
  </si>
  <si>
    <t>Estimativa anual para atendimento contínuo da sede e dos 13 distritos. Os quantitativos serão detalhados no DFD com base no consumo, no estoque e na pesquisa de preços. Papel higiênico, papel-toalha e guardanapos permanecem em item separado para evitar duplicidade.</t>
  </si>
  <si>
    <t xml:space="preserve">              suspensa. Toda a identificação (contratada, CNPJ, datas, valores) aparece sozinha logo abaixo.</t>
  </si>
  <si>
    <t>Aquisição de copos descartáveis para água e café</t>
  </si>
  <si>
    <t xml:space="preserve">     5.  Na aba Base de Dados, na coluna “Ficha (nome da aba)”, digite o nome EXATO da aba que você criou,</t>
  </si>
  <si>
    <t>Valor Total no Exercício 2027</t>
  </si>
  <si>
    <t>C01</t>
  </si>
  <si>
    <t xml:space="preserve">              na linha correspondente ao contrato. Isso liga a ficha ao painel/dashboard.</t>
  </si>
  <si>
    <t>Meses Empenhados</t>
  </si>
  <si>
    <t>Caixas</t>
  </si>
  <si>
    <t xml:space="preserve">     6.  Repita os passos 1 a 5 para cada novo contrato. Use sempre a MODELO_FICHA como base — nunca copie</t>
  </si>
  <si>
    <t xml:space="preserve">              uma ficha já preenchida (para não arrastar dados de outro contrato).</t>
  </si>
  <si>
    <t>•  Atalho (Google Sheets com o script SIGO instalado): ao cadastrar o contrato na aba 2027, a ficha é criada,</t>
  </si>
  <si>
    <t>Atender ao consumo necessário para disponibilização de água e café na sede administrativa e nas 13 unidades distritais durante o exercício.</t>
  </si>
  <si>
    <t>Estimativa anual a ser detalhada no DFD, com definição dos tipos, capacidades e quantitativos conforme a demanda efetiva das unidades e a pesquisa de preços.</t>
  </si>
  <si>
    <t xml:space="preserve">     nomeada e ligada à Base de Dados automaticamente — os passos 2 a 5 acontecem sozinhos.</t>
  </si>
  <si>
    <t>Nº Duplicado?</t>
  </si>
  <si>
    <t>Aquisição de materiais de expediente para a sede e unidades distritais</t>
  </si>
  <si>
    <t xml:space="preserve">  PASSO 3 — ALIMENTE A FICHA AO LONGO DO ANO</t>
  </si>
  <si>
    <t>024.000147/2025-98</t>
  </si>
  <si>
    <t>RECHE GALDEANO &amp; CIA LTDA</t>
  </si>
  <si>
    <t>08.713.403/0001-90</t>
  </si>
  <si>
    <t>Assegurar a continuidade da instrução processual, dos registros administrativos, do arquivamento e do atendimento realizado pela sede da SMD e pelas unidades distritais, evitando desabastecimento de insumos indispensáveis às rotinas de trabalho.</t>
  </si>
  <si>
    <t>•  Seção 1 – Identificação: complete os campos brancos (código da ação, gestor, fiscal, nomeação, publicação,</t>
  </si>
  <si>
    <t>Estimativa anual para atendimento da sede e dos 13 distritos. Os quantitativos e as especificações serão consolidados no DFD com base no consumo histórico, no estoque disponível e na pesquisa de preços, priorizando aquisição compatível com a demanda efetiva.</t>
  </si>
  <si>
    <t xml:space="preserve">     programa, natureza e elemento de despesa, valor original, % físico, próximas medição e pagamento) e selecione Situação e Categoria Econômica (bege).</t>
  </si>
  <si>
    <t>Aquisição de papel toalha, papel higiênico e guardanapos</t>
  </si>
  <si>
    <t>•  Seção 4 – Contrato e Aditivos: uma linha por termo. A 1ª linha é o contrato original; lance cada aditivo</t>
  </si>
  <si>
    <t xml:space="preserve">     nas linhas seguintes. Digite o valor em "Acréscimo (R$)" OU em "Supressão (R$)" — sempre número positivo, sem sinal.</t>
  </si>
  <si>
    <t>Pacotes</t>
  </si>
  <si>
    <t>•  Seção 5 – Liquidação e Pagamento: uma linha por medição/nota fiscal, com valores e datas de liquidação</t>
  </si>
  <si>
    <t xml:space="preserve">     e de pagamento, nº do empenho e a Fonte de Recurso (bege) de cada pagamento.</t>
  </si>
  <si>
    <t>Assegurar o abastecimento contínuo de insumos de higiene e uso sanitário na sede e nas 13 unidades distritais, necessários à manutenção das condições de salubridade e ao atendimento regular de servidores e usuários.</t>
  </si>
  <si>
    <t>•  As seções 2 (situação orçamentária), 2.1 (pago por fonte de recurso) e 3 (alertas) calculam sozinhas.</t>
  </si>
  <si>
    <t>Estimativa anual para os 12 meses de 2027. Os quantitativos serão consolidados no DFD conforme consumo histórico, estoque disponível e pesquisa de preços, mantendo-se este objeto separado dos demais materiais de limpeza para controle e prevenção de duplicidade.</t>
  </si>
  <si>
    <t>Aquisição de café, açúcar e recarga de gás de cozinha</t>
  </si>
  <si>
    <t>•  IMPORTANTE: não digite nada na Base de Dados além das colunas brancas e bege — ela é alimentada pelas fichas.</t>
  </si>
  <si>
    <t>Atender à rotina de copa da sede administrativa e das unidades distritais durante o exercício, com fornecimento regular dos insumos de consumo previstos.</t>
  </si>
  <si>
    <t xml:space="preserve">  COMO REGISTRAR UM MÊS PAGO POR MAIS DE UMA FONTE / RECURSO</t>
  </si>
  <si>
    <t>66/2024</t>
  </si>
  <si>
    <t>Estimativa anual para os 12 meses de 2027. Os quantitativos serão definidos no DFD conforme consumo projetado, estoque disponível e pesquisa de preços.</t>
  </si>
  <si>
    <t>Diárias civis para deslocamentos institucionais e operacionais</t>
  </si>
  <si>
    <t>Estimativa anual</t>
  </si>
  <si>
    <t>•  Regra de ouro: na Seção 5, use UMA LINHA para cada fonte/recurso — mesmo que seja o mesmo mês e a mesma nota.</t>
  </si>
  <si>
    <t>Custear deslocamentos de servidores para atendimento das atividades da sede, dos distritos e de localidades do Município.</t>
  </si>
  <si>
    <t>•  Repita o “Período de Referência” (ex.: Julho/2027) em cada linha e informe, em cada uma, o Nº do Empenho,</t>
  </si>
  <si>
    <t>Carona (ARP Externa)</t>
  </si>
  <si>
    <t>Previsão anual definida pela SMD. Despesa orçamentária não contratual, mantida nesta aba para demonstrar a necessidade integral de 2027.</t>
  </si>
  <si>
    <t xml:space="preserve">     o Valor Pago daquela parte e a Fonte de Recurso correspondente. Use “Observações” para amarrar as partes.</t>
  </si>
  <si>
    <t>Diárias indenizatórias para deslocamentos no território municipal</t>
  </si>
  <si>
    <t>Locação de 11 veículos utilitários leves, sem condutor, para atendimento da sede e dos distritos.</t>
  </si>
  <si>
    <t>Contrato continuado</t>
  </si>
  <si>
    <t>EXEMPLO — competência de Julho/2027 paga por duas fontes:</t>
  </si>
  <si>
    <t>Período Ref.</t>
  </si>
  <si>
    <t>Custear as indenizações de deslocamento necessárias às atividades de campo e ao atendimento dos distritos.</t>
  </si>
  <si>
    <t>Nº Empenho</t>
  </si>
  <si>
    <t>Valor Pago (R$)</t>
  </si>
  <si>
    <t>Global</t>
  </si>
  <si>
    <t>9/26/2024</t>
  </si>
  <si>
    <t>Suprimento de fundos para despesas com materiais de consumo e serviços de terceiros na sede e nos 13 distritos</t>
  </si>
  <si>
    <t>9/26/2027</t>
  </si>
  <si>
    <t>Julho/2027</t>
  </si>
  <si>
    <t>2027NE0045</t>
  </si>
  <si>
    <t>Viabilizar o atendimento de despesas excepcionais, urgentes, de pequeno vulto e de pronto pagamento, nas hipóteses admitidas pela regulamentação aplicável, abrangendo a aquisição de materiais de consumo e a contratação de serviços de terceiros necessários ao funcionamento da sede e das unidades distritais.</t>
  </si>
  <si>
    <t>30.000,00</t>
  </si>
  <si>
    <t>Recurso Livre</t>
  </si>
  <si>
    <t>Parcela mensal – parte 1/2</t>
  </si>
  <si>
    <t>Previsão anual unificada no valor de R$ 140.000,00, reunindo as necessidades anteriormente apresentadas em itens distintos para material de consumo e serviços de terceiros, sem duplicidade de recursos. A unificação possui finalidade de planejamento; na execução orçamentária, as despesas deverão ser classificadas, empenhadas e prestadas contas nos elementos correspondentes à sua natureza e de acordo com cada concessão.</t>
  </si>
  <si>
    <t>Aquisição de cartuchos de toner para as impressoras da SMD</t>
  </si>
  <si>
    <t>2027NE0051</t>
  </si>
  <si>
    <t>20.000,00</t>
  </si>
  <si>
    <t>Convênio</t>
  </si>
  <si>
    <t>Unidades</t>
  </si>
  <si>
    <t>Parcela mensal – parte 2/2</t>
  </si>
  <si>
    <t>Resultado: o KPI 2.1 soma R$ 30.000 em Recurso Livre e R$ 20.000 em Convênio; o total do mês (R$ 50.000) fica correto automaticamente.</t>
  </si>
  <si>
    <t>Assegurar a continuidade da impressão de documentos necessários à instrução processual, às comunicações administrativas e ao atendimento das unidades que utilizam equipamentos próprios.</t>
  </si>
  <si>
    <t>Estimativa preliminar para atendimento durante os 12 meses de 2027. Os modelos, os quantitativos e a compatibilidade dos cartuchos serão definidos após o inventário das impressoras, a verificação do estoque e a consolidação do DFD, com posterior pesquisa de preços.</t>
  </si>
  <si>
    <t>Aquisição de equipamentos de informática para a sede e unidades distritais</t>
  </si>
  <si>
    <t>Lote</t>
  </si>
  <si>
    <t>2º Trimestre</t>
  </si>
  <si>
    <t xml:space="preserve">  GUIA RÁPIDO DAS LISTAS SUSPENSAS</t>
  </si>
  <si>
    <t>Substituir equipamentos defasados e estruturar os postos de trabalho da sede e dos distritos.</t>
  </si>
  <si>
    <t>Previsão inicial para aquisição gradual dos equipamentos de informática mais urgentes. O levantamento preliminar era superior, mas a dotação foi reduzida para reforçar os contratos continuados anualizados.</t>
  </si>
  <si>
    <t>Aquisição de roçadeiras profissionais, motopodas telescópicas e kits de ferramentas</t>
  </si>
  <si>
    <t>TIPO DE OBJETO — lista completa (selecionável nas abas 2027 e Pretensões 2027):</t>
  </si>
  <si>
    <t>Equipamentos e kits</t>
  </si>
  <si>
    <t>Contratos Tradicionais de Compras e Serviços (Lei 14.133/2021)</t>
  </si>
  <si>
    <t>Atender os serviços de roçagem, poda e manutenção das áreas públicas nos 13 distritos.</t>
  </si>
  <si>
    <t>Projeção anual para 2027. Referência de 2026: R$ 508.721,40 empenhados. O saldo de R$ 19,30 do elemento 3.3.90.33, compartilhado com o Contrato nº 64/2025, foi registrado somente nesta linha para evitar duplicidade.</t>
  </si>
  <si>
    <t>Contrato de Obras</t>
  </si>
  <si>
    <t>Previsão anual reforçada para aquisição de roçadeiras profissionais, motopodas telescópicas e kits de ferramentas destinados às atividades operacionais nos distritos. Os quantitativos e as especificações definitivas dependerão do levantamento técnico e da pesquisa de preços.</t>
  </si>
  <si>
    <t>Aquisição de acessórios, peças e lubrificantes para roçadeiras e motopodas</t>
  </si>
  <si>
    <t>Construção, reforma ou ampliação de prédios públicos, escolas, postos de saúde e pontes.</t>
  </si>
  <si>
    <t>Contrato de Serviços de Engenharia</t>
  </si>
  <si>
    <t>Manutenção preventiva, reformas parciais, reparos asfálticos e sinalização viária.</t>
  </si>
  <si>
    <t>Garantir o funcionamento e a manutenção dos equipamentos durante os 12 meses do exercício.</t>
  </si>
  <si>
    <t>Serviços essenciais do dia a dia: limpeza urbana, segurança patrimonial e TI.</t>
  </si>
  <si>
    <t>024.000144/2025-54</t>
  </si>
  <si>
    <t>ISAIAS RODRIGUES DOS ANJOS</t>
  </si>
  <si>
    <t>Estimativa anual para acessórios, peças e lubrificantes necessários ao funcionamento das roçadeiras e motopodas. A relação definitiva será ajustada aos modelos dos equipamentos adquiridos.</t>
  </si>
  <si>
    <t>768.916.742-04</t>
  </si>
  <si>
    <t>Aquisição de equipamentos de proteção individual para operadores de roçadeiras e motopodas</t>
  </si>
  <si>
    <t>Contrato de Prestação de Serviços Técnicos Especializados</t>
  </si>
  <si>
    <t>39/2022</t>
  </si>
  <si>
    <t>Consultorias, auditorias externas, estudos de viabilidade ou projetos arquitetônicos.</t>
  </si>
  <si>
    <t>Contrato de Locação de Imóveis</t>
  </si>
  <si>
    <t>Kits</t>
  </si>
  <si>
    <t>Dispensa</t>
  </si>
  <si>
    <t>Locação do imóvel onde funciona a sede administrativa do Distrito de Extrema.</t>
  </si>
  <si>
    <t>Aquisição imediata ou parcelada de bens móveis (medicamentos, merenda, fardamentos, veículos).</t>
  </si>
  <si>
    <t>7/23/2022</t>
  </si>
  <si>
    <t>Proteger os operadores durante os serviços de roçagem e poda nos distritos.</t>
  </si>
  <si>
    <t>7/22/2027</t>
  </si>
  <si>
    <t>Estimativa anual para equipamentos de proteção individual dos operadores. O valor foi dimensionado dentro da proposta global e será revisto após a definição das especificações e dos preços unitários.</t>
  </si>
  <si>
    <t>Contratação de serviço de agenciamento de passagens aéreas</t>
  </si>
  <si>
    <t>Aluguel de imóveis privados para abrigar secretarias, creches ou almoxarifados municipais.</t>
  </si>
  <si>
    <t>Viagens completas</t>
  </si>
  <si>
    <t>Contrato de Alienação</t>
  </si>
  <si>
    <t>Venda de bens públicos móveis inservíveis (carros velhos, sucata) ou imóveis autorizados por lei.</t>
  </si>
  <si>
    <t>Média</t>
  </si>
  <si>
    <t>Atender viagens institucionais para capacitação, aperfeiçoamento e representação da SMD.</t>
  </si>
  <si>
    <t>Estimativa anual priorizada para agenciamento de passagens. O quantitativo será compatibilizado com o valor disponível, sem incluir diárias ou deslocamentos terrestres.</t>
  </si>
  <si>
    <t>Reforma da sede administrativa do Distrito de Abunã</t>
  </si>
  <si>
    <t>Projeção anual para 2027. Referência de 2026: R$ 49.721,00 empenhados, considerando o processo principal e o processo apartado nº 024.000319/2026-12. O saldo de R$ 1.959,02 do elemento 3.3.90.36, compartilhado com as demais locações de pessoa física, foi registrado somente nesta linha.</t>
  </si>
  <si>
    <t>Contratos de Concessão e Delegação de Serviços</t>
  </si>
  <si>
    <t>Prédio</t>
  </si>
  <si>
    <t>Concessão Comum de Serviço Público</t>
  </si>
  <si>
    <t>Serviço ao setor privado com remuneração via tarifa paga pelo usuário (ex.: transporte coletivo).</t>
  </si>
  <si>
    <t>Recuperar as condições de segurança, conservação e funcionamento da sede administrativa do Distrito de Abunã, mediante avaliação das necessidades de execução de muro, adequação do padrão e do poste de energia elétrica e serviços de pintura. As intervenções são necessárias à preservação do imóvel público e à continuidade do atendimento administrativo à população.</t>
  </si>
  <si>
    <t>Parceria Público-Privada (PPP) Administrativa</t>
  </si>
  <si>
    <t>Concessão em que o município é o usuário e paga integralmente (ex.: iluminação pública, hospital).</t>
  </si>
  <si>
    <t>Estimativa preliminar extraída do Relatório de Necessidade de Reparos de Sedes Próprias, sujeita à vistoria e ao estudo de viabilidade por equipe técnica de engenharia. A definição do escopo, dos quantitativos, das soluções construtivas, do cronograma e do orçamento de referência deverá preceder a contratação, com pesquisa de preços e seleção da alternativa tecnicamente adequada e economicamente mais vantajosa para a Administração.</t>
  </si>
  <si>
    <t>Parceria Público-Privada (PPP) Patrocinada</t>
  </si>
  <si>
    <t>Tarifa paga pelo cidadão + complemento pago pela prefeitura (ex.: saneamento, água e esgoto).</t>
  </si>
  <si>
    <t>Reforma e avaliação da adequação da sede administrativa do Distrito de Calama</t>
  </si>
  <si>
    <t>Permissão de Uso de Bem Público</t>
  </si>
  <si>
    <t>Uso precário de espaços públicos por particulares (ex.: quiosques, bancas, boxes de mercados).</t>
  </si>
  <si>
    <t>024.000200/2025-51</t>
  </si>
  <si>
    <t>HELENA VASCONCELOS DE ALENCAR</t>
  </si>
  <si>
    <t>161.816.892-49</t>
  </si>
  <si>
    <t>Restabelecer condições adequadas de uso da sede administrativa do Distrito de Calama, considerando a necessidade indicada de reparos nas instalações hidráulicas, recuperação do telhado e avaliação técnica da solução para ampliação, substituição ou construção de estrutura compatível com as atividades da unidade. A medida busca assegurar segurança, salubridade e continuidade dos serviços públicos no distrito.</t>
  </si>
  <si>
    <t>Parcerias com o Terceiro Setor (MROSC — Lei 13.019/2014)</t>
  </si>
  <si>
    <t>20/2023</t>
  </si>
  <si>
    <t>Reforma da sede administrativa do Distrito de Demarcação</t>
  </si>
  <si>
    <t>Termo de Colaboração</t>
  </si>
  <si>
    <t>Repasse de recursos para projetos propostos pelo município (ex.: vagas em creches comunitárias).</t>
  </si>
  <si>
    <t>Locação do imóvel onde funciona a sede administrativa do Distrito de Nazaré.</t>
  </si>
  <si>
    <t>Termo de Fomento *</t>
  </si>
  <si>
    <t>Repasse para projetos propostos pelas próprias OSCs. * Não está na lista suspensa — registrar em Observações.</t>
  </si>
  <si>
    <t>Adequar as condições de abastecimento de água e conservação da sede administrativa do Distrito de Demarcação, mediante avaliação para instalação de reservatório de água com capacidade estimada de 1.000 litros e execução de pintura, de modo a garantir condições mínimas de funcionamento e atendimento à população.</t>
  </si>
  <si>
    <t>Acordo de Cooperação</t>
  </si>
  <si>
    <t>4/14/2023</t>
  </si>
  <si>
    <t>Parceria sem repasse de verba (ex.: ONG que assume a revitalização de um parque municipal).</t>
  </si>
  <si>
    <t>4/13/2027</t>
  </si>
  <si>
    <t>Adequação das instalações elétricas da sede administrativa do Distrito de Fortaleza do Abunã</t>
  </si>
  <si>
    <t>Instrumentos de Cooperação Intergovernamental</t>
  </si>
  <si>
    <t>Contrato de Consórcio Público</t>
  </si>
  <si>
    <t>União formal entre municípios para ratear custos e gerir demandas comuns (ex.: aterro regional).</t>
  </si>
  <si>
    <t>Convênio Administrativo</t>
  </si>
  <si>
    <t>Cooperação com o Estado ou a União para receber verbas de emendas ou programas específicos.</t>
  </si>
  <si>
    <t>Corrigir e adequar as instalações elétricas da sede administrativa do Distrito de Fortaleza do Abunã, reduzindo riscos à segurança de servidores, usuários, equipamentos e ao patrimônio público e assegurando condições regulares para a continuidade das atividades administrativas.</t>
  </si>
  <si>
    <t>Complementação da reforma da sede administrativa do Distrito de Jaci-Paraná</t>
  </si>
  <si>
    <t>-</t>
  </si>
  <si>
    <t>REGIME DE EXECUÇÃO:</t>
  </si>
  <si>
    <t>Contrato Continuado</t>
  </si>
  <si>
    <t>Projeção anual para 2027. Referência de 2026: R$ 13.443,69 empenhados. O saldo compartilhado do elemento 3.3.90.36 foi registrado na linha do Contrato nº 39/2022 para não ser somado em duplicidade.</t>
  </si>
  <si>
    <t>Serviço essencial e permanente; a interrupção causa prejuízo (ex.: vigilância).</t>
  </si>
  <si>
    <t>Prever recursos para serviços complementares necessários à conclusão ou adequação da reforma em andamento na sede administrativa do Distrito de Jaci-Paraná, conforme apuração técnica do estágio da obra e das intervenções remanescentes, com o objetivo de restabelecer plenamente as condições de uso do imóvel.</t>
  </si>
  <si>
    <t>Contrato não continuado</t>
  </si>
  <si>
    <t>Serviço esporádico ou temporário (ex.: uma reforma pontual).</t>
  </si>
  <si>
    <t>024.000150/2025-10</t>
  </si>
  <si>
    <t>Reforma do pátio da sede administrativa do Distrito de Nova Califórnia</t>
  </si>
  <si>
    <t>FUNDO PENITENCIARIO DO ESTADO DE RONDONIA - FUPEN</t>
  </si>
  <si>
    <t>15.837.081/0001-56</t>
  </si>
  <si>
    <t>Contrato por Escopo</t>
  </si>
  <si>
    <t>Serviço/obra com objeto definido; termina quando o objeto é concluído e entregue (ex.: uma obra específica).</t>
  </si>
  <si>
    <t>92/2023</t>
  </si>
  <si>
    <t>TIPO DE EMPENHO:</t>
  </si>
  <si>
    <t>Ordinário</t>
  </si>
  <si>
    <t>Cooperação para disponibilização de 1 reeducando em regime aberto, em atividade de serviços gerais na SMD.</t>
  </si>
  <si>
    <t>Recuperar e adequar o pátio da sede administrativa do Distrito de Nova Califórnia, garantindo melhores condições de acesso, circulação, segurança e conservação do imóvel utilizado na prestação dos serviços públicos distritais.</t>
  </si>
  <si>
    <t>Preço fixo + pagamento único.</t>
  </si>
  <si>
    <t>Reforma da sede administrativa do Distrito de Nova Mutum Paraná</t>
  </si>
  <si>
    <t>Estimativo</t>
  </si>
  <si>
    <t>Executar intervenções prioritárias de pintura e reparos nas instalações hidráulicas da sede administrativa do Distrito de Nova Mutum Paraná, diante da urgência registrada, prevenindo agravamento das patologias construtivas e interrupções no atendimento administrativo.</t>
  </si>
  <si>
    <t>Preço fixo + pagamento parcelado.</t>
  </si>
  <si>
    <t>Reforma e ampliação de estruturas de apoio da sede administrativa do Distrito de São Carlos</t>
  </si>
  <si>
    <t>Preço variável + pagamento conforme o consumo.</t>
  </si>
  <si>
    <t>Projeção anual para 2027. Referência de 2026: R$ 31.365,67 empenhados líquidos, incluída a despesa de exercício anterior vinculada ao instrumento. Não foi identificado saldo livre específico no elemento para registro nesta linha.</t>
  </si>
  <si>
    <t>Adequar a sede administrativa do Distrito de São Carlos mediante avaliação para construção de depósito destinado à guarda organizada de máquinas, materiais e insumos, implantação de cobertura de proteção para equipamentos e adequações necessárias à instalação de aparelhos de climatização. A intervenção visa proteger o patrimônio público e apoiar a continuidade das atividades operacionais e administrativas.</t>
  </si>
  <si>
    <t>FONTE DE RECURSO (na ficha — seção 5, uma por pagamento):</t>
  </si>
  <si>
    <t>024.000145/2025-07</t>
  </si>
  <si>
    <t>Reforma da sede administrativa do Distrito de Vista Alegre do Abunã</t>
  </si>
  <si>
    <t>IMOBILIÁRIA ATRIUM LTDA</t>
  </si>
  <si>
    <t>21.309.241/0001-97</t>
  </si>
  <si>
    <t>Recursos próprios sem destinação vinculada; uso livre pela Administração.</t>
  </si>
  <si>
    <t>16/2023</t>
  </si>
  <si>
    <t>Recurso Vinculado</t>
  </si>
  <si>
    <t>Recursos com destinação legal específica (ex.: educação, saúde).</t>
  </si>
  <si>
    <t>Recuperar as condições de segurança e conservação da sede administrativa do Distrito de Vista Alegre do Abunã, mediante avaliação para reconstrução do muro e execução de reparos no telhado, prevenindo riscos aos usuários, danos ao imóvel e comprometimento da continuidade dos serviços.</t>
  </si>
  <si>
    <t>Locação do imóvel onde funciona a sede administrativa da SMD.</t>
  </si>
  <si>
    <t>Locação de imóvel para implantação da sede administrativa do Distrito de Rio Pardo</t>
  </si>
  <si>
    <t>Recursos repassados por convênio/acordo com outro ente ou órgão.</t>
  </si>
  <si>
    <t>3/16/2023</t>
  </si>
  <si>
    <t>Mês</t>
  </si>
  <si>
    <t>9/14/2027</t>
  </si>
  <si>
    <t>Operação de Crédito</t>
  </si>
  <si>
    <t>Recursos de empréstimo ou financiamento contratado pela Administração.</t>
  </si>
  <si>
    <t>Implantar estrutura física adequada para o funcionamento da administração distrital de Rio Pardo, que atualmente não dispõe de sede própria, assegurando local apropriado para o atendimento à população, o desenvolvimento das rotinas administrativas e a continuidade dos serviços públicos no distrito.</t>
  </si>
  <si>
    <t>Emendas Parlamentares</t>
  </si>
  <si>
    <t>Recursos indicados por emenda parlamentar.</t>
  </si>
  <si>
    <t>Estimativa preliminar de até R$ 2.000,00 mensais, totalizando R$ 24.000,00 para 12 meses. A locação dependerá de estudo de viabilidade, definição das necessidades da unidade, pesquisa de mercado, avaliação do imóvel, regularidade documental e demonstração de compatibilidade do preço, buscando-se o menor valor possível entre as alternativas que atendam ao interesse público e aos requisitos técnicos.</t>
  </si>
  <si>
    <t>⚠  IMPORTANTE — a Fonte de Recurso aparece em DOIS lugares, com finalidades diferentes:</t>
  </si>
  <si>
    <t xml:space="preserve">     • Seção 1 (Identificação): mostra automaticamente a fonte PREDOMINANTE (a de maior valor pago) — vai para o dashboard.      • Seção 5 (Pagamentos): informe a fonte de CADA pagamento — é o que alimenta o "Pago por Fonte" (KPI 2.1), a fonte predominante e o dashboard.</t>
  </si>
  <si>
    <t>Terceiro termo aditivo: vigência por 24 meses a partir de 15/09/2025 e aluguel mensal de R$ 13.000,00. Projeção anual para 2027. Referência de 2026: R$ 156.000,00 empenhados; saldo informado no elemento 3.3.90.39: R$ 3.484,00.</t>
  </si>
  <si>
    <t xml:space="preserve">     Confira na Base de Dados a coluna "Verificação — Pago vs. Fonte": mostra "OK" quando tudo bate, ou avisa se houver pagamento sem fonte.</t>
  </si>
  <si>
    <t>024.000146/2025-43</t>
  </si>
  <si>
    <t>LUCAS GOMES PATRICIO</t>
  </si>
  <si>
    <t>019.472.152-30</t>
  </si>
  <si>
    <t xml:space="preserve">  DÚVIDAS RÁPIDAS</t>
  </si>
  <si>
    <t>28/2018</t>
  </si>
  <si>
    <t>Locação do imóvel onde funciona a sede administrativa do Distrito de União Bandeirantes.</t>
  </si>
  <si>
    <t>A lista suspensa não aparece?   →   Clique na própria célula: a seta surge no canto direito dela.</t>
  </si>
  <si>
    <t>4/17/2018</t>
  </si>
  <si>
    <t>10/15/2026</t>
  </si>
  <si>
    <t>Erro ao tentar digitar?   →   A célula só aceita opções da lista (bege) ou é automática/bloqueada (azul ou verde).</t>
  </si>
  <si>
    <t>Coluna automática mostra “-” ou 0?   →   Falta algum dado usado na fórmula (ex.: valor mensal ou meses vigentes).</t>
  </si>
  <si>
    <t>Nº do contrato aparece em vermelho / “DUPLICADO”?   →   Esse Nº/Ano já foi usado em outra linha. Verifique e corrija — cada contrato deve ser único.</t>
  </si>
  <si>
    <t>Oitavo termo aditivo vigente por seis meses a partir de 16/04/2026. A necessidade foi projetada para os 12 meses de 2027, mediante nova locação ou instrumento cabível. Referência de 2026: R$ 11.440,00 empenhados. O saldo compartilhado do elemento 3.3.90.36 foi registrado na linha de Extrema.</t>
  </si>
  <si>
    <t>024.000050/2025-85</t>
  </si>
  <si>
    <t>KAELE LTDA</t>
  </si>
  <si>
    <t>04.819.323/0001-62</t>
  </si>
  <si>
    <t>64/2025</t>
  </si>
  <si>
    <t>Locação de 2 caminhonetes 4x4, sem condutor, para deslocamentos em ramais e localidades de difícil acesso.</t>
  </si>
  <si>
    <t>Dúvidas não resolvidas? Procure a coordenação do Projeto SIGO — SEMEC / PMPV.</t>
  </si>
  <si>
    <t>Contrato com prazo de 12 meses contado da assinatura em 03/12/2025. A continuidade foi projetada para todo o exercício de 2027. Referência de 2026: R$ 314.640,00 empenhados. O saldo compartilhado do elemento 3.3.90.33 foi registrado na linha do Contrato nº 66/2024.</t>
  </si>
  <si>
    <t>LOCAÇÃO NOVO IMOVEL SEDE SMD EM UNIÃO BANDEIRANTES.</t>
  </si>
  <si>
    <t>Previsão para locação de novo imóvel destinado à sede administrativa do Distrito de União Bandeirantes, em substituição ao imóvel atualmente utilizado, cuja estrutura não oferece condições adequadas para o atendimento à população, o desenvolvimento das atividades administrativas e a guarda dos equipamentos da SMD. Prevê-se a prorrogação temporária da locação atual, de outubro de 2026 até abril de 2027, para assegurar a continuidade do atendimento, com início da instrução do novo processo em janeiro de 2027. A seleção observará a adequação do imóvel, a avaliação mercadológica, a regularidade documental e a busca pelo menor valor compatível com as necessidades da unidade, em atenção à economicidade e ao interesse público.</t>
  </si>
  <si>
    <t>FICHA INDIVIDUAL DE CONTRATO — CONTROLE E ALIMENTAÇÃO</t>
  </si>
  <si>
    <t>Nº do contrato →</t>
  </si>
  <si>
    <t>1. IDENTIFICAÇÃO DO CONTRATO (dados azuis preenchidos automaticamente)</t>
  </si>
  <si>
    <t>Nº (ordem)</t>
  </si>
  <si>
    <t>Contratada</t>
  </si>
  <si>
    <t>CPF/CNPJ</t>
  </si>
  <si>
    <t>Meses Vigentes</t>
  </si>
  <si>
    <t>Valor Mensal (R$)</t>
  </si>
  <si>
    <t>Valor Empenhado 2027</t>
  </si>
  <si>
    <t>Ato de Nomeação</t>
  </si>
  <si>
    <t>Data Nomeação / Nº DOM</t>
  </si>
  <si>
    <t>Publicação (DOM e data)</t>
  </si>
  <si>
    <t>Valor Original (R$)</t>
  </si>
  <si>
    <t>Próx. Pagamento Previsto</t>
  </si>
  <si>
    <t>2. SITUAÇÃO ORÇAMENTÁRIA E FINANCEIRA DO CONTRATO (calculada — não editar)</t>
  </si>
  <si>
    <t>Empenhado (ficha)</t>
  </si>
  <si>
    <t>Anulado</t>
  </si>
  <si>
    <t>Liquidado</t>
  </si>
  <si>
    <t>Pago</t>
  </si>
  <si>
    <t>Vigência Final (após aditivos)</t>
  </si>
  <si>
    <t>2.1. PAGO POR FONTE DE RECURSO (KPI — calculado a partir do item 5; não editar)</t>
  </si>
  <si>
    <t>% do Total Pago</t>
  </si>
  <si>
    <t>TOTAL PAGO</t>
  </si>
  <si>
    <t>3. ALERTAS AUTOMÁTICOS (calculados — não editar)</t>
  </si>
  <si>
    <t>Saldo a Liquidar &lt; 20% do Total</t>
  </si>
  <si>
    <t>4. CONTRATO E ADITIVOS — uma linha por termo (alimentação manual)</t>
  </si>
  <si>
    <t>Ordem (CT / Nº T. Aditivo)</t>
  </si>
  <si>
    <t>Meses (auto)</t>
  </si>
  <si>
    <t>Acréscimo (R$)</t>
  </si>
  <si>
    <t>Supressão (R$)</t>
  </si>
  <si>
    <t>Nº do Empenho</t>
  </si>
  <si>
    <t>Valor Empenhado (R$)</t>
  </si>
  <si>
    <t>Valor Anulado (R$)</t>
  </si>
  <si>
    <t>Início Vigência</t>
  </si>
  <si>
    <t>Fim Vigência</t>
  </si>
  <si>
    <t>Contrato Original</t>
  </si>
  <si>
    <t>TOTAIS →   Valor Acrescido:</t>
  </si>
  <si>
    <t>Valor Suprimido:</t>
  </si>
  <si>
    <t>5. CONTROLE DE LIQUIDAÇÃO E PAGAMENTO — uma linha por medição/nota (mês com várias fontes = uma linha por fonte)</t>
  </si>
  <si>
    <t>Período de Referência</t>
  </si>
  <si>
    <t>Nota Fiscal</t>
  </si>
  <si>
    <t>ID da NF no SEI</t>
  </si>
  <si>
    <t>Nº da Liquidação</t>
  </si>
  <si>
    <t>Data Liquidação</t>
  </si>
  <si>
    <t>Valor Liquidado (R$)</t>
  </si>
  <si>
    <t>Data do Pagamento</t>
  </si>
  <si>
    <t>SUBTOTAIS →</t>
  </si>
  <si>
    <t>6. OUTRAS INFORMAÇÕES (adjudicação, pareceres, homologação, publicações etc.)</t>
  </si>
  <si>
    <t>Tipo de Contrato/Objeto</t>
  </si>
  <si>
    <t>Trimestre Previsto</t>
  </si>
  <si>
    <t>Forma de Contratação</t>
  </si>
  <si>
    <t>Fase - ARP</t>
  </si>
  <si>
    <t>Fase - Carona</t>
  </si>
  <si>
    <t>Fase - Direta</t>
  </si>
  <si>
    <t>Fase - Licitação Comum</t>
  </si>
  <si>
    <t>(reservado)</t>
  </si>
  <si>
    <t>Intervalo de Fase (mapeamento)</t>
  </si>
  <si>
    <t>Fonte de Recursos (Pretensões)</t>
  </si>
  <si>
    <t>Pregão Eletrônico</t>
  </si>
  <si>
    <t>Fase de Planejamento (IRP)</t>
  </si>
  <si>
    <t>Fase de Planejamento (Estudo de Viabilidade)</t>
  </si>
  <si>
    <t>Fase de Planejamento</t>
  </si>
  <si>
    <t>Listas!$J$2:$J$5</t>
  </si>
  <si>
    <t>Concorrência</t>
  </si>
  <si>
    <t>Seleção do Fornecedor (Licitação)</t>
  </si>
  <si>
    <t>Fase de Solicitação e Autorização</t>
  </si>
  <si>
    <t>Instrução do Processo Direto</t>
  </si>
  <si>
    <t>Seleção do Fornecedor</t>
  </si>
  <si>
    <t>Recursos Vinculados</t>
  </si>
  <si>
    <t>3º Trimestre</t>
  </si>
  <si>
    <t>Baixa</t>
  </si>
  <si>
    <t>Diálogo Competitivo</t>
  </si>
  <si>
    <t>Fase de Assinatura da Ata</t>
  </si>
  <si>
    <t>Instrução do Processo de Adesão</t>
  </si>
  <si>
    <t>Fase de Assinatura / Empenho</t>
  </si>
  <si>
    <t>Fase de Assinatura</t>
  </si>
  <si>
    <t>4º Trimestre</t>
  </si>
  <si>
    <t>Concurso</t>
  </si>
  <si>
    <t>Gestão da Ata (Disponível para Consumo)</t>
  </si>
  <si>
    <t>Fase de Assinatura do Contrato / Empenho</t>
  </si>
  <si>
    <t>Gestão de Contrato</t>
  </si>
  <si>
    <t>Emenda Municipal</t>
  </si>
  <si>
    <t>Leilão</t>
  </si>
  <si>
    <t>Instrução de Contratação Decorrente</t>
  </si>
  <si>
    <t>Gestão do Contrato Adesão</t>
  </si>
  <si>
    <t>Emenda Estadual</t>
  </si>
  <si>
    <t>ARP Própria</t>
  </si>
  <si>
    <t>Listas!$G$2:$G$8</t>
  </si>
  <si>
    <t>Emenda Federal</t>
  </si>
  <si>
    <t>Gestão do Contrato Decorrente</t>
  </si>
  <si>
    <t>Listas!$H$2:$H$6</t>
  </si>
  <si>
    <t>Listas!$I$2:$I$5</t>
  </si>
  <si>
    <t>Inexigibilidade</t>
  </si>
  <si>
    <t>Automático — puxado da aba 2027 ou da ficha individual do contrato (não editar)</t>
  </si>
  <si>
    <t>Preenchimento manual</t>
  </si>
  <si>
    <t>Lista suspensa</t>
  </si>
  <si>
    <t>Campo calculado / alerta (não editar)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</si>
</sst>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;[RED]\-#,##0.00;\-"/>
    <numFmt numFmtId="165" formatCode="mmm\-yy"/>
    <numFmt numFmtId="166" formatCode="m/d/yyyy"/>
    <numFmt numFmtId="167" formatCode="#,##0;[RED]\-#,##0;\-"/>
    <numFmt numFmtId="168" formatCode="0.0%"/>
    <numFmt numFmtId="169" formatCode="0.0%;[RED]\-0.0%;\-"/>
  </numFmts>
  <fonts count="29">
    <font>
      <sz val="10.0"/>
      <color rgb="FF000000"/>
      <name val="Arial"/>
      <scheme val="minor"/>
    </font>
    <font>
      <b/>
      <sz val="12.0"/>
      <color rgb="FF1F4E78"/>
      <name val="Calibri"/>
    </font>
    <font>
      <b/>
      <sz val="15.0"/>
      <color rgb="FFFFFFFF"/>
      <name val="Calibri"/>
    </font>
    <font>
      <b/>
      <sz val="13.0"/>
      <color rgb="FF1F4E78"/>
      <name val="Calibri"/>
    </font>
    <font/>
    <font>
      <sz val="10.0"/>
      <color rgb="FF000000"/>
      <name val="Arial"/>
    </font>
    <font>
      <i/>
      <sz val="10.0"/>
      <color rgb="FF1F4E78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b/>
      <sz val="10.0"/>
      <color rgb="FF1F4E78"/>
      <name val="Calibri"/>
    </font>
    <font>
      <sz val="10.0"/>
      <color rgb="FF404040"/>
      <name val="Calibri"/>
    </font>
    <font>
      <b/>
      <sz val="10.0"/>
      <color rgb="FFFFFFFF"/>
      <name val="Calibri"/>
    </font>
    <font>
      <b/>
      <sz val="9.0"/>
      <color rgb="FF1F4E78"/>
      <name val="Calibri"/>
    </font>
    <font>
      <color rgb="FF000000"/>
      <name val="Calibri"/>
    </font>
    <font>
      <color rgb="FF404040"/>
      <name val="Calibri"/>
    </font>
    <font>
      <b/>
      <sz val="10.0"/>
      <color rgb="FF404040"/>
      <name val="Calibri"/>
    </font>
    <font>
      <sz val="9.0"/>
      <color theme="1"/>
      <name val="Calibri"/>
    </font>
    <font>
      <color theme="1"/>
      <name val="Arial"/>
      <scheme val="minor"/>
    </font>
    <font>
      <color rgb="FF000000"/>
      <name val="Arial"/>
    </font>
    <font>
      <b/>
      <sz val="10.0"/>
      <color rgb="FF00695C"/>
      <name val="Calibri"/>
    </font>
    <font>
      <sz val="9.0"/>
      <color rgb="FF404040"/>
      <name val="Calibri"/>
    </font>
    <font>
      <i/>
      <sz val="10.0"/>
      <color rgb="FF404040"/>
      <name val="Calibri"/>
    </font>
    <font>
      <i/>
      <sz val="9.0"/>
      <color rgb="FF1F4E78"/>
      <name val="Calibri"/>
    </font>
    <font>
      <b/>
      <sz val="11.0"/>
      <color theme="1"/>
      <name val="Calibri"/>
    </font>
    <font>
      <sz val="9.0"/>
      <color rgb="FF808080"/>
      <name val="Calibri"/>
    </font>
    <font>
      <b/>
      <sz val="8.0"/>
      <color rgb="FF1F4E78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9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3B6EA5"/>
        <bgColor rgb="FF3B6EA5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EEF2F7"/>
        <bgColor rgb="FFEEF2F7"/>
      </patternFill>
    </fill>
    <fill>
      <patternFill patternType="solid">
        <fgColor rgb="FFFDF3E2"/>
        <bgColor rgb="FFFDF3E2"/>
      </patternFill>
    </fill>
    <fill>
      <patternFill patternType="solid">
        <fgColor rgb="FFEAF0FA"/>
        <bgColor rgb="FFEAF0FA"/>
      </patternFill>
    </fill>
    <fill>
      <patternFill patternType="solid">
        <fgColor rgb="FFEFF7EE"/>
        <bgColor rgb="FFEFF7EE"/>
      </patternFill>
    </fill>
    <fill>
      <patternFill patternType="solid">
        <fgColor rgb="FF2E7D32"/>
        <bgColor rgb="FF2E7D32"/>
      </patternFill>
    </fill>
    <fill>
      <patternFill patternType="solid">
        <fgColor rgb="FFDCE6F5"/>
        <bgColor rgb="FFDCE6F5"/>
      </patternFill>
    </fill>
    <fill>
      <patternFill patternType="solid">
        <fgColor rgb="FF00695C"/>
        <bgColor rgb="FF00695C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546E7A"/>
        <bgColor rgb="FF546E7A"/>
      </patternFill>
    </fill>
    <fill>
      <patternFill patternType="solid">
        <fgColor rgb="FFF7F9FC"/>
        <bgColor rgb="FFF7F9FC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D9D9D9"/>
      </left>
      <top/>
      <bottom/>
    </border>
    <border>
      <left/>
      <right/>
      <top/>
      <bottom/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0"/>
    </xf>
    <xf borderId="2" fillId="0" fontId="4" numFmtId="0" xfId="0" applyBorder="1" applyFont="1"/>
    <xf borderId="0" fillId="0" fontId="5" numFmtId="0" xfId="0" applyAlignment="1" applyFont="1">
      <alignment shrinkToFit="0" vertical="bottom" wrapText="0"/>
    </xf>
    <xf borderId="3" fillId="0" fontId="4" numFmtId="0" xfId="0" applyBorder="1" applyFont="1"/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bottom" wrapText="1"/>
    </xf>
    <xf borderId="1" fillId="2" fontId="7" numFmtId="0" xfId="0" applyAlignment="1" applyBorder="1" applyFill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3" fontId="8" numFmtId="0" xfId="0" applyAlignment="1" applyBorder="1" applyFill="1" applyFont="1">
      <alignment shrinkToFit="0" vertical="center" wrapText="1"/>
    </xf>
    <xf borderId="4" fillId="4" fontId="9" numFmtId="0" xfId="0" applyAlignment="1" applyBorder="1" applyFill="1" applyFont="1">
      <alignment horizontal="center" shrinkToFit="0" vertical="center" wrapText="1"/>
    </xf>
    <xf borderId="5" fillId="5" fontId="9" numFmtId="0" xfId="0" applyAlignment="1" applyBorder="1" applyFill="1" applyFont="1">
      <alignment horizontal="left" shrinkToFit="0" vertical="center" wrapText="0"/>
    </xf>
    <xf borderId="0" fillId="0" fontId="10" numFmtId="0" xfId="0" applyAlignment="1" applyFont="1">
      <alignment shrinkToFit="0" vertical="center" wrapText="1"/>
    </xf>
    <xf borderId="6" fillId="0" fontId="4" numFmtId="0" xfId="0" applyBorder="1" applyFont="1"/>
    <xf borderId="7" fillId="0" fontId="4" numFmtId="0" xfId="0" applyBorder="1" applyFont="1"/>
    <xf borderId="4" fillId="5" fontId="9" numFmtId="0" xfId="0" applyAlignment="1" applyBorder="1" applyFill="1" applyFont="1">
      <alignment horizontal="center" shrinkToFit="0" vertical="center" wrapText="0"/>
    </xf>
    <xf borderId="4" fillId="6" fontId="9" numFmtId="0" xfId="0" applyAlignment="1" applyBorder="1" applyFill="1" applyFont="1">
      <alignment horizontal="center" shrinkToFit="0" vertical="center" wrapText="1"/>
    </xf>
    <xf borderId="4" fillId="7" fontId="9" numFmtId="0" xfId="0" applyAlignment="1" applyBorder="1" applyFill="1" applyFont="1">
      <alignment horizontal="center" shrinkToFit="0" vertical="center" wrapText="1"/>
    </xf>
    <xf borderId="4" fillId="5" fontId="9" numFmtId="164" xfId="0" applyAlignment="1" applyBorder="1" applyFill="1" applyFont="1" applyNumberFormat="1">
      <alignment horizontal="center" shrinkToFit="0" vertical="center" wrapText="0"/>
    </xf>
    <xf borderId="4" fillId="8" fontId="9" numFmtId="0" xfId="0" applyAlignment="1" applyBorder="1" applyFill="1" applyFont="1">
      <alignment horizontal="center" shrinkToFit="0" vertical="center" wrapText="1"/>
    </xf>
    <xf borderId="1" fillId="3" fontId="11" numFmtId="0" xfId="0" applyAlignment="1" applyBorder="1" applyFill="1" applyFont="1">
      <alignment horizontal="center" shrinkToFit="0" vertical="center" wrapText="0"/>
    </xf>
    <xf borderId="1" fillId="9" fontId="8" numFmtId="0" xfId="0" applyAlignment="1" applyBorder="1" applyFill="1" applyFont="1">
      <alignment shrinkToFit="0" vertical="center" wrapText="1"/>
    </xf>
    <xf borderId="1" fillId="9" fontId="11" numFmtId="0" xfId="0" applyAlignment="1" applyBorder="1" applyFill="1" applyFont="1">
      <alignment horizontal="center" shrinkToFit="0" vertical="center" wrapText="0"/>
    </xf>
    <xf borderId="8" fillId="10" fontId="9" numFmtId="0" xfId="0" applyAlignment="1" applyBorder="1" applyFill="1" applyFont="1">
      <alignment horizontal="center" shrinkToFit="0" vertical="center" wrapText="1"/>
    </xf>
    <xf borderId="1" fillId="11" fontId="11" numFmtId="0" xfId="0" applyAlignment="1" applyBorder="1" applyFill="1" applyFont="1">
      <alignment horizontal="center" shrinkToFit="0" vertical="center" wrapText="0"/>
    </xf>
    <xf borderId="4" fillId="5" fontId="9" numFmtId="0" xfId="0" applyAlignment="1" applyBorder="1" applyFill="1" applyFont="1">
      <alignment horizontal="center" shrinkToFit="0" vertical="center" wrapText="1"/>
    </xf>
    <xf borderId="1" fillId="12" fontId="11" numFmtId="0" xfId="0" applyAlignment="1" applyBorder="1" applyFill="1" applyFont="1">
      <alignment horizontal="center" shrinkToFit="0" vertical="center" wrapText="0"/>
    </xf>
    <xf borderId="1" fillId="13" fontId="11" numFmtId="0" xfId="0" applyAlignment="1" applyBorder="1" applyFill="1" applyFont="1">
      <alignment horizontal="center" shrinkToFit="0" vertical="center" wrapText="0"/>
    </xf>
    <xf borderId="1" fillId="14" fontId="11" numFmtId="0" xfId="0" applyAlignment="1" applyBorder="1" applyFill="1" applyFont="1">
      <alignment horizontal="center" shrinkToFit="0" vertical="center" wrapText="0"/>
    </xf>
    <xf borderId="4" fillId="7" fontId="9" numFmtId="0" xfId="0" applyAlignment="1" applyBorder="1" applyFill="1" applyFont="1">
      <alignment horizontal="center" shrinkToFit="0" vertical="center" wrapText="0"/>
    </xf>
    <xf borderId="4" fillId="10" fontId="12" numFmtId="0" xfId="0" applyAlignment="1" applyBorder="1" applyFill="1" applyFont="1">
      <alignment horizontal="center" shrinkToFit="0" vertical="center" wrapText="1"/>
    </xf>
    <xf borderId="4" fillId="4" fontId="13" numFmtId="0" xfId="0" applyAlignment="1" applyBorder="1" applyFill="1" applyFont="1">
      <alignment horizontal="left" readingOrder="0" vertical="bottom"/>
    </xf>
    <xf borderId="1" fillId="9" fontId="8" numFmtId="0" xfId="0" applyAlignment="1" applyBorder="1" applyFill="1" applyFont="1">
      <alignment shrinkToFit="0" vertical="bottom" wrapText="0"/>
    </xf>
    <xf borderId="4" fillId="6" fontId="13" numFmtId="0" xfId="0" applyAlignment="1" applyBorder="1" applyFill="1" applyFont="1">
      <alignment horizontal="center" readingOrder="0" vertical="bottom"/>
    </xf>
    <xf borderId="4" fillId="4" fontId="13" numFmtId="3" xfId="0" applyAlignment="1" applyBorder="1" applyFill="1" applyFont="1" applyNumberFormat="1">
      <alignment horizontal="center" readingOrder="0" vertical="bottom"/>
    </xf>
    <xf borderId="4" fillId="4" fontId="13" numFmtId="0" xfId="0" applyAlignment="1" applyBorder="1" applyFill="1" applyFont="1">
      <alignment horizontal="center" readingOrder="0" vertical="bottom"/>
    </xf>
    <xf borderId="4" fillId="4" fontId="13" numFmtId="164" xfId="0" applyAlignment="1" applyBorder="1" applyFill="1" applyFont="1" applyNumberFormat="1">
      <alignment horizontal="center" readingOrder="0" vertical="bottom"/>
    </xf>
    <xf borderId="0" fillId="0" fontId="10" numFmtId="0" xfId="0" applyAlignment="1" applyFont="1">
      <alignment shrinkToFit="0" vertical="bottom" wrapText="0"/>
    </xf>
    <xf borderId="4" fillId="6" fontId="13" numFmtId="0" xfId="0" applyAlignment="1" applyBorder="1" applyFill="1" applyFont="1">
      <alignment horizontal="left" readingOrder="0" vertical="bottom"/>
    </xf>
    <xf borderId="4" fillId="4" fontId="14" numFmtId="0" xfId="0" applyAlignment="1" applyBorder="1" applyFill="1" applyFont="1">
      <alignment horizontal="left" readingOrder="0" vertical="bottom"/>
    </xf>
    <xf borderId="4" fillId="15" fontId="13" numFmtId="3" xfId="0" applyAlignment="1" applyBorder="1" applyFill="1" applyFont="1" applyNumberFormat="1">
      <alignment horizontal="center" readingOrder="0" vertical="bottom"/>
    </xf>
    <xf borderId="1" fillId="11" fontId="8" numFmtId="0" xfId="0" applyAlignment="1" applyBorder="1" applyFill="1" applyFont="1">
      <alignment shrinkToFit="0" vertical="center" wrapText="1"/>
    </xf>
    <xf borderId="4" fillId="15" fontId="13" numFmtId="0" xfId="0" applyAlignment="1" applyBorder="1" applyFill="1" applyFont="1">
      <alignment horizontal="center" readingOrder="0" vertical="bottom"/>
    </xf>
    <xf borderId="4" fillId="15" fontId="13" numFmtId="164" xfId="0" applyAlignment="1" applyBorder="1" applyFill="1" applyFont="1" applyNumberFormat="1">
      <alignment horizontal="center" readingOrder="0" vertical="bottom"/>
    </xf>
    <xf borderId="4" fillId="15" fontId="13" numFmtId="0" xfId="0" applyAlignment="1" applyBorder="1" applyFill="1" applyFont="1">
      <alignment horizontal="left" readingOrder="0" vertical="bottom"/>
    </xf>
    <xf borderId="4" fillId="15" fontId="14" numFmtId="0" xfId="0" applyAlignment="1" applyBorder="1" applyFill="1" applyFont="1">
      <alignment horizontal="left" readingOrder="0" vertical="bottom"/>
    </xf>
    <xf borderId="0" fillId="0" fontId="15" numFmtId="0" xfId="0" applyAlignment="1" applyFont="1">
      <alignment shrinkToFit="0" vertical="center" wrapText="1"/>
    </xf>
    <xf borderId="4" fillId="7" fontId="16" numFmtId="3" xfId="0" applyAlignment="1" applyBorder="1" applyFill="1" applyFont="1" applyNumberFormat="1">
      <alignment shrinkToFit="0" vertical="center" wrapText="0"/>
    </xf>
    <xf borderId="4" fillId="6" fontId="16" numFmtId="0" xfId="0" applyAlignment="1" applyBorder="1" applyFill="1" applyFont="1">
      <alignment shrinkToFit="0" vertical="center" wrapText="0"/>
    </xf>
    <xf borderId="4" fillId="7" fontId="16" numFmtId="0" xfId="0" applyAlignment="1" applyBorder="1" applyFill="1" applyFont="1">
      <alignment shrinkToFit="0" vertical="center" wrapText="0"/>
    </xf>
    <xf borderId="4" fillId="7" fontId="9" numFmtId="0" xfId="0" applyAlignment="1" applyBorder="1" applyFill="1" applyFont="1">
      <alignment horizontal="center" readingOrder="0" shrinkToFit="0" vertical="center" wrapText="0"/>
    </xf>
    <xf borderId="1" fillId="12" fontId="8" numFmtId="0" xfId="0" applyAlignment="1" applyBorder="1" applyFill="1" applyFont="1">
      <alignment shrinkToFit="0" vertical="center" wrapText="1"/>
    </xf>
    <xf borderId="4" fillId="7" fontId="16" numFmtId="165" xfId="0" applyAlignment="1" applyBorder="1" applyFill="1" applyFont="1" applyNumberFormat="1">
      <alignment shrinkToFit="0" vertical="center" wrapText="0"/>
    </xf>
    <xf borderId="4" fillId="4" fontId="14" numFmtId="0" xfId="0" applyAlignment="1" applyBorder="1" applyFill="1" applyFont="1">
      <alignment horizontal="left" readingOrder="0"/>
    </xf>
    <xf borderId="4" fillId="4" fontId="14" numFmtId="0" xfId="0" applyAlignment="1" applyBorder="1" applyFill="1" applyFont="1">
      <alignment horizontal="center" readingOrder="0"/>
    </xf>
    <xf borderId="4" fillId="7" fontId="16" numFmtId="0" xfId="0" applyAlignment="1" applyBorder="1" applyFill="1" applyFont="1">
      <alignment shrinkToFit="0" vertical="center" wrapText="1"/>
    </xf>
    <xf borderId="4" fillId="4" fontId="16" numFmtId="0" xfId="0" applyAlignment="1" applyBorder="1" applyFill="1" applyFont="1">
      <alignment shrinkToFit="0" vertical="center" wrapText="0"/>
    </xf>
    <xf borderId="0" fillId="0" fontId="10" numFmtId="0" xfId="0" applyAlignment="1" applyFont="1">
      <alignment horizontal="left" shrinkToFit="0" vertical="center" wrapText="1"/>
    </xf>
    <xf borderId="4" fillId="7" fontId="16" numFmtId="166" xfId="0" applyAlignment="1" applyBorder="1" applyFill="1" applyFont="1" applyNumberFormat="1">
      <alignment shrinkToFit="0" vertical="center" wrapText="0"/>
    </xf>
    <xf borderId="4" fillId="4" fontId="14" numFmtId="49" xfId="0" applyAlignment="1" applyBorder="1" applyFill="1" applyFont="1" applyNumberFormat="1">
      <alignment horizontal="center" readingOrder="0"/>
    </xf>
    <xf borderId="1" fillId="11" fontId="8" numFmtId="0" xfId="0" applyAlignment="1" applyBorder="1" applyFill="1" applyFont="1">
      <alignment horizontal="left" shrinkToFit="0" vertical="center" wrapText="1"/>
    </xf>
    <xf borderId="4" fillId="6" fontId="17" numFmtId="0" xfId="0" applyAlignment="1" applyBorder="1" applyFill="1" applyFont="1">
      <alignment horizontal="center" vertical="bottom"/>
    </xf>
    <xf borderId="4" fillId="6" fontId="14" numFmtId="0" xfId="0" applyAlignment="1" applyBorder="1" applyFill="1" applyFont="1">
      <alignment horizontal="left" readingOrder="0"/>
    </xf>
    <xf borderId="4" fillId="6" fontId="18" numFmtId="0" xfId="0" applyAlignment="1" applyBorder="1" applyFill="1" applyFont="1">
      <alignment horizontal="center" readingOrder="0"/>
    </xf>
    <xf borderId="4" fillId="6" fontId="14" numFmtId="0" xfId="0" applyAlignment="1" applyBorder="1" applyFill="1" applyFont="1">
      <alignment horizontal="center" readingOrder="0"/>
    </xf>
    <xf borderId="0" fillId="0" fontId="19" numFmtId="0" xfId="0" applyAlignment="1" applyFont="1">
      <alignment horizontal="left" shrinkToFit="0" vertical="center" wrapText="1"/>
    </xf>
    <xf borderId="9" fillId="10" fontId="12" numFmtId="0" xfId="0" applyAlignment="1" applyBorder="1" applyFill="1" applyFont="1">
      <alignment horizontal="center" shrinkToFit="0" vertical="center" wrapText="1"/>
    </xf>
    <xf borderId="10" fillId="10" fontId="12" numFmtId="0" xfId="0" applyAlignment="1" applyBorder="1" applyFill="1" applyFont="1">
      <alignment horizontal="center" shrinkToFit="0" vertical="center" wrapText="1"/>
    </xf>
    <xf borderId="11" fillId="4" fontId="12" numFmtId="0" xfId="0" applyAlignment="1" applyBorder="1" applyFill="1" applyFont="1">
      <alignment horizontal="center" shrinkToFit="0" vertical="center" wrapText="1"/>
    </xf>
    <xf borderId="11" fillId="4" fontId="5" numFmtId="0" xfId="0" applyAlignment="1" applyBorder="1" applyFill="1" applyFont="1">
      <alignment shrinkToFit="0" vertical="bottom" wrapText="0"/>
    </xf>
    <xf borderId="4" fillId="4" fontId="14" numFmtId="164" xfId="0" applyAlignment="1" applyBorder="1" applyFill="1" applyFont="1" applyNumberFormat="1">
      <alignment horizontal="center" readingOrder="0"/>
    </xf>
    <xf borderId="5" fillId="0" fontId="20" numFmtId="0" xfId="0" applyAlignment="1" applyBorder="1" applyFont="1">
      <alignment horizontal="center" shrinkToFit="0" vertical="center" wrapText="1"/>
    </xf>
    <xf borderId="4" fillId="4" fontId="14" numFmtId="3" xfId="0" applyAlignment="1" applyBorder="1" applyFill="1" applyFont="1" applyNumberFormat="1">
      <alignment horizontal="center" readingOrder="0"/>
    </xf>
    <xf borderId="4" fillId="0" fontId="20" numFmtId="0" xfId="0" applyAlignment="1" applyBorder="1" applyFont="1">
      <alignment horizontal="center" shrinkToFit="0" vertical="center" wrapText="1"/>
    </xf>
    <xf borderId="4" fillId="15" fontId="13" numFmtId="0" xfId="0" applyAlignment="1" applyBorder="1" applyFill="1" applyFont="1">
      <alignment horizontal="left" readingOrder="0" vertical="top"/>
    </xf>
    <xf borderId="4" fillId="15" fontId="14" numFmtId="0" xfId="0" applyAlignment="1" applyBorder="1" applyFill="1" applyFont="1">
      <alignment horizontal="left" readingOrder="0" vertical="top"/>
    </xf>
    <xf borderId="11" fillId="4" fontId="20" numFmtId="0" xfId="0" applyAlignment="1" applyBorder="1" applyFill="1" applyFont="1">
      <alignment horizontal="center" shrinkToFit="0" vertical="center" wrapText="1"/>
    </xf>
    <xf borderId="4" fillId="7" fontId="10" numFmtId="164" xfId="0" applyAlignment="1" applyBorder="1" applyFill="1" applyFont="1" applyNumberFormat="1">
      <alignment horizontal="center" shrinkToFit="0" vertical="center" wrapText="0"/>
    </xf>
    <xf borderId="4" fillId="7" fontId="16" numFmtId="164" xfId="0" applyAlignment="1" applyBorder="1" applyFill="1" applyFont="1" applyNumberFormat="1">
      <alignment shrinkToFit="0" vertical="center" wrapText="0"/>
    </xf>
    <xf borderId="0" fillId="0" fontId="21" numFmtId="0" xfId="0" applyAlignment="1" applyFont="1">
      <alignment shrinkToFit="0" vertical="center" wrapText="1"/>
    </xf>
    <xf borderId="4" fillId="7" fontId="10" numFmtId="167" xfId="0" applyAlignment="1" applyBorder="1" applyFill="1" applyFont="1" applyNumberFormat="1">
      <alignment horizontal="center" shrinkToFit="0" vertical="center" wrapText="0"/>
    </xf>
    <xf borderId="1" fillId="13" fontId="8" numFmtId="0" xfId="0" applyAlignment="1" applyBorder="1" applyFill="1" applyFont="1">
      <alignment shrinkToFit="0" vertical="center" wrapText="1"/>
    </xf>
    <xf borderId="4" fillId="7" fontId="10" numFmtId="168" xfId="0" applyAlignment="1" applyBorder="1" applyFill="1" applyFont="1" applyNumberFormat="1">
      <alignment horizontal="center" shrinkToFit="0" vertical="center" wrapText="0"/>
    </xf>
    <xf borderId="5" fillId="10" fontId="15" numFmtId="0" xfId="0" applyAlignment="1" applyBorder="1" applyFill="1" applyFont="1">
      <alignment horizontal="left" shrinkToFit="0" vertical="center" wrapText="1"/>
    </xf>
    <xf borderId="4" fillId="4" fontId="16" numFmtId="164" xfId="0" applyAlignment="1" applyBorder="1" applyFill="1" applyFont="1" applyNumberFormat="1">
      <alignment shrinkToFit="0" vertical="center" wrapText="0"/>
    </xf>
    <xf borderId="4" fillId="10" fontId="9" numFmtId="0" xfId="0" applyAlignment="1" applyBorder="1" applyFill="1" applyFont="1">
      <alignment horizontal="left" shrinkToFit="0" vertical="center" wrapText="1"/>
    </xf>
    <xf borderId="4" fillId="4" fontId="10" numFmtId="0" xfId="0" applyAlignment="1" applyBorder="1" applyFill="1" applyFont="1">
      <alignment horizontal="center" shrinkToFit="0" vertical="center" wrapText="0"/>
    </xf>
    <xf borderId="4" fillId="8" fontId="16" numFmtId="164" xfId="0" applyAlignment="1" applyBorder="1" applyFill="1" applyFont="1" applyNumberFormat="1">
      <alignment shrinkToFit="0" vertical="center" wrapText="0"/>
    </xf>
    <xf borderId="11" fillId="10" fontId="9" numFmtId="0" xfId="0" applyAlignment="1" applyBorder="1" applyFill="1" applyFont="1">
      <alignment horizontal="left" shrinkToFit="0" vertical="center" wrapText="1"/>
    </xf>
    <xf borderId="4" fillId="7" fontId="16" numFmtId="168" xfId="0" applyAlignment="1" applyBorder="1" applyFill="1" applyFont="1" applyNumberFormat="1">
      <alignment shrinkToFit="0" vertical="center" wrapText="0"/>
    </xf>
    <xf borderId="4" fillId="8" fontId="16" numFmtId="168" xfId="0" applyAlignment="1" applyBorder="1" applyFill="1" applyFont="1" applyNumberFormat="1">
      <alignment shrinkToFit="0" vertical="center" wrapText="0"/>
    </xf>
    <xf borderId="0" fillId="0" fontId="15" numFmtId="0" xfId="0" applyAlignment="1" applyFont="1">
      <alignment horizontal="left" shrinkToFit="0" vertical="center" wrapText="1"/>
    </xf>
    <xf borderId="4" fillId="4" fontId="13" numFmtId="0" xfId="0" applyAlignment="1" applyBorder="1" applyFill="1" applyFont="1">
      <alignment horizontal="left" readingOrder="0" vertical="top"/>
    </xf>
    <xf borderId="4" fillId="4" fontId="14" numFmtId="0" xfId="0" applyAlignment="1" applyBorder="1" applyFill="1" applyFont="1">
      <alignment horizontal="left" readingOrder="0" vertical="top"/>
    </xf>
    <xf borderId="4" fillId="4" fontId="16" numFmtId="168" xfId="0" applyAlignment="1" applyBorder="1" applyFill="1" applyFont="1" applyNumberFormat="1">
      <alignment shrinkToFit="0" vertical="center" wrapText="0"/>
    </xf>
    <xf borderId="4" fillId="4" fontId="16" numFmtId="166" xfId="0" applyAlignment="1" applyBorder="1" applyFill="1" applyFont="1" applyNumberFormat="1">
      <alignment shrinkToFit="0" vertical="center" wrapText="0"/>
    </xf>
    <xf borderId="4" fillId="10" fontId="9" numFmtId="0" xfId="0" applyAlignment="1" applyBorder="1" applyFill="1" applyFont="1">
      <alignment shrinkToFit="0" vertical="center" wrapText="1"/>
    </xf>
    <xf borderId="4" fillId="6" fontId="18" numFmtId="0" xfId="0" applyAlignment="1" applyBorder="1" applyFill="1" applyFont="1">
      <alignment horizontal="center" readingOrder="0" vertical="bottom"/>
    </xf>
    <xf borderId="4" fillId="6" fontId="17" numFmtId="0" xfId="0" applyAlignment="1" applyBorder="1" applyFill="1" applyFont="1">
      <alignment horizontal="center"/>
    </xf>
    <xf borderId="4" fillId="4" fontId="14" numFmtId="166" xfId="0" applyAlignment="1" applyBorder="1" applyFill="1" applyFont="1" applyNumberFormat="1">
      <alignment horizontal="center" readingOrder="0"/>
    </xf>
    <xf borderId="4" fillId="4" fontId="16" numFmtId="0" xfId="0" applyAlignment="1" applyBorder="1" applyFill="1" applyFont="1">
      <alignment shrinkToFit="0" vertical="center" wrapText="1"/>
    </xf>
    <xf borderId="4" fillId="8" fontId="16" numFmtId="3" xfId="0" applyAlignment="1" applyBorder="1" applyFill="1" applyFont="1" applyNumberFormat="1">
      <alignment shrinkToFit="0" vertical="center" wrapText="0"/>
    </xf>
    <xf borderId="4" fillId="8" fontId="16" numFmtId="0" xfId="0" applyAlignment="1" applyBorder="1" applyFill="1" applyFont="1">
      <alignment shrinkToFit="0" vertical="center" wrapText="0"/>
    </xf>
    <xf borderId="11" fillId="10" fontId="9" numFmtId="0" xfId="0" applyAlignment="1" applyBorder="1" applyFill="1" applyFont="1">
      <alignment shrinkToFit="0" vertical="center" wrapText="1"/>
    </xf>
    <xf borderId="4" fillId="4" fontId="10" numFmtId="0" xfId="0" applyAlignment="1" applyBorder="1" applyFill="1" applyFont="1">
      <alignment horizontal="left" shrinkToFit="0" vertical="center" wrapText="0"/>
    </xf>
    <xf borderId="4" fillId="6" fontId="10" numFmtId="0" xfId="0" applyAlignment="1" applyBorder="1" applyFill="1" applyFont="1">
      <alignment horizontal="center" shrinkToFit="0" vertical="center" wrapText="0"/>
    </xf>
    <xf borderId="4" fillId="4" fontId="10" numFmtId="3" xfId="0" applyAlignment="1" applyBorder="1" applyFill="1" applyFont="1" applyNumberFormat="1">
      <alignment horizontal="center" shrinkToFit="0" vertical="center" wrapText="0"/>
    </xf>
    <xf borderId="4" fillId="4" fontId="10" numFmtId="164" xfId="0" applyAlignment="1" applyBorder="1" applyFill="1" applyFont="1" applyNumberFormat="1">
      <alignment horizontal="center" shrinkToFit="0" vertical="center" wrapText="0"/>
    </xf>
    <xf borderId="4" fillId="6" fontId="10" numFmtId="0" xfId="0" applyAlignment="1" applyBorder="1" applyFill="1" applyFont="1">
      <alignment horizontal="left" shrinkToFit="0" vertical="center" wrapText="0"/>
    </xf>
    <xf borderId="4" fillId="15" fontId="10" numFmtId="0" xfId="0" applyAlignment="1" applyBorder="1" applyFill="1" applyFont="1">
      <alignment horizontal="left" shrinkToFit="0" vertical="center" wrapText="0"/>
    </xf>
    <xf borderId="4" fillId="15" fontId="10" numFmtId="3" xfId="0" applyAlignment="1" applyBorder="1" applyFill="1" applyFont="1" applyNumberFormat="1">
      <alignment horizontal="center" shrinkToFit="0" vertical="center" wrapText="0"/>
    </xf>
    <xf borderId="5" fillId="6" fontId="9" numFmtId="0" xfId="0" applyAlignment="1" applyBorder="1" applyFill="1" applyFont="1">
      <alignment horizontal="left" shrinkToFit="0" vertical="center" wrapText="1"/>
    </xf>
    <xf borderId="4" fillId="15" fontId="10" numFmtId="0" xfId="0" applyAlignment="1" applyBorder="1" applyFill="1" applyFont="1">
      <alignment horizontal="center" shrinkToFit="0" vertical="center" wrapText="0"/>
    </xf>
    <xf borderId="4" fillId="15" fontId="10" numFmtId="164" xfId="0" applyAlignment="1" applyBorder="1" applyFill="1" applyFont="1" applyNumberFormat="1">
      <alignment horizontal="center" shrinkToFit="0" vertical="center" wrapText="0"/>
    </xf>
    <xf borderId="4" fillId="8" fontId="16" numFmtId="0" xfId="0" applyAlignment="1" applyBorder="1" applyFill="1" applyFont="1">
      <alignment horizontal="center" shrinkToFit="0" vertical="center" wrapText="1"/>
    </xf>
    <xf borderId="4" fillId="6" fontId="9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4" fillId="7" fontId="16" numFmtId="49" xfId="0" applyAlignment="1" applyBorder="1" applyFill="1" applyFont="1" applyNumberFormat="1">
      <alignment shrinkToFit="0" vertical="center" wrapText="0"/>
    </xf>
    <xf borderId="0" fillId="0" fontId="6" numFmtId="0" xfId="0" applyAlignment="1" applyFont="1">
      <alignment shrinkToFit="0" vertical="center" wrapText="1"/>
    </xf>
    <xf borderId="4" fillId="4" fontId="10" numFmtId="49" xfId="0" applyAlignment="1" applyBorder="1" applyFill="1" applyFont="1" applyNumberFormat="1">
      <alignment horizontal="center" shrinkToFit="0" vertical="center" wrapText="0"/>
    </xf>
    <xf borderId="4" fillId="6" fontId="5" numFmtId="0" xfId="0" applyAlignment="1" applyBorder="1" applyFill="1" applyFont="1">
      <alignment horizontal="center" shrinkToFit="0" vertical="center" wrapText="0"/>
    </xf>
    <xf borderId="4" fillId="4" fontId="10" numFmtId="166" xfId="0" applyAlignment="1" applyBorder="1" applyFill="1" applyFont="1" applyNumberFormat="1">
      <alignment horizontal="center" shrinkToFit="0" vertical="center" wrapText="0"/>
    </xf>
    <xf borderId="4" fillId="4" fontId="10" numFmtId="164" xfId="0" applyAlignment="1" applyBorder="1" applyFill="1" applyFont="1" applyNumberFormat="1">
      <alignment horizontal="center" readingOrder="0" shrinkToFit="0" vertical="center" wrapText="0"/>
    </xf>
    <xf borderId="4" fillId="4" fontId="10" numFmtId="3" xfId="0" applyAlignment="1" applyBorder="1" applyFill="1" applyFont="1" applyNumberFormat="1">
      <alignment horizontal="center" readingOrder="0" shrinkToFit="0" vertical="center" wrapText="0"/>
    </xf>
    <xf borderId="4" fillId="4" fontId="10" numFmtId="0" xfId="0" applyAlignment="1" applyBorder="1" applyFill="1" applyFont="1">
      <alignment horizontal="left" shrinkToFit="0" vertical="center" wrapText="1"/>
    </xf>
    <xf borderId="0" fillId="0" fontId="22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right" shrinkToFit="0" vertical="center" wrapText="0"/>
    </xf>
    <xf borderId="4" fillId="6" fontId="23" numFmtId="3" xfId="0" applyAlignment="1" applyBorder="1" applyFill="1" applyFont="1" applyNumberFormat="1">
      <alignment horizontal="center" shrinkToFit="0" vertical="center" wrapText="0"/>
    </xf>
    <xf borderId="4" fillId="6" fontId="23" numFmtId="0" xfId="0" applyAlignment="1" applyBorder="1" applyFill="1" applyFont="1">
      <alignment horizontal="center" shrinkToFit="0" vertical="center" wrapText="0"/>
    </xf>
    <xf borderId="0" fillId="0" fontId="24" numFmtId="0" xfId="0" applyAlignment="1" applyFont="1">
      <alignment shrinkToFit="0" vertical="bottom" wrapText="0"/>
    </xf>
    <xf borderId="11" fillId="4" fontId="12" numFmtId="0" xfId="0" applyAlignment="1" applyBorder="1" applyFill="1" applyFont="1">
      <alignment horizontal="left" shrinkToFit="0" vertical="center" wrapText="1"/>
    </xf>
    <xf borderId="5" fillId="7" fontId="5" numFmtId="3" xfId="0" applyAlignment="1" applyBorder="1" applyFill="1" applyFont="1" applyNumberFormat="1">
      <alignment horizontal="center" shrinkToFit="0" vertical="center" wrapText="1"/>
    </xf>
    <xf borderId="1" fillId="4" fontId="12" numFmtId="0" xfId="0" applyAlignment="1" applyBorder="1" applyFill="1" applyFont="1">
      <alignment horizontal="left" shrinkToFit="0" vertical="center" wrapText="1"/>
    </xf>
    <xf borderId="5" fillId="7" fontId="12" numFmtId="0" xfId="0" applyAlignment="1" applyBorder="1" applyFill="1" applyFont="1">
      <alignment horizontal="center" shrinkToFit="0" vertical="center" wrapText="1"/>
    </xf>
    <xf borderId="5" fillId="6" fontId="5" numFmtId="0" xfId="0" applyAlignment="1" applyBorder="1" applyFill="1" applyFont="1">
      <alignment horizontal="center" shrinkToFit="0" vertical="center" wrapText="1"/>
    </xf>
    <xf borderId="5" fillId="7" fontId="5" numFmtId="0" xfId="0" applyAlignment="1" applyBorder="1" applyFill="1" applyFont="1">
      <alignment horizontal="center" shrinkToFit="0" vertical="center" wrapText="1"/>
    </xf>
    <xf borderId="5" fillId="7" fontId="12" numFmtId="0" xfId="0" applyAlignment="1" applyBorder="1" applyFill="1" applyFont="1">
      <alignment horizontal="left" shrinkToFit="0" vertical="center" wrapText="1"/>
    </xf>
    <xf borderId="5" fillId="7" fontId="5" numFmtId="0" xfId="0" applyAlignment="1" applyBorder="1" applyFill="1" applyFont="1">
      <alignment horizontal="left" shrinkToFit="0" vertical="center" wrapText="1"/>
    </xf>
    <xf borderId="11" fillId="4" fontId="12" numFmtId="0" xfId="0" applyAlignment="1" applyBorder="1" applyFill="1" applyFont="1">
      <alignment horizontal="left" shrinkToFit="0" vertical="center" wrapText="0"/>
    </xf>
    <xf borderId="5" fillId="7" fontId="5" numFmtId="166" xfId="0" applyAlignment="1" applyBorder="1" applyFill="1" applyFont="1" applyNumberFormat="1">
      <alignment horizontal="center" shrinkToFit="0" vertical="center" wrapText="1"/>
    </xf>
    <xf borderId="5" fillId="7" fontId="12" numFmtId="166" xfId="0" applyAlignment="1" applyBorder="1" applyFill="1" applyFont="1" applyNumberFormat="1">
      <alignment horizontal="center" shrinkToFit="0" vertical="center" wrapText="1"/>
    </xf>
    <xf borderId="5" fillId="7" fontId="5" numFmtId="164" xfId="0" applyAlignment="1" applyBorder="1" applyFill="1" applyFont="1" applyNumberFormat="1">
      <alignment horizontal="right" shrinkToFit="0" vertical="center" wrapText="1"/>
    </xf>
    <xf borderId="5" fillId="7" fontId="12" numFmtId="164" xfId="0" applyAlignment="1" applyBorder="1" applyFill="1" applyFont="1" applyNumberFormat="1">
      <alignment horizontal="right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5" fillId="6" fontId="12" numFmtId="0" xfId="0" applyAlignment="1" applyBorder="1" applyFill="1" applyFont="1">
      <alignment horizontal="center" shrinkToFit="0" vertical="center" wrapText="1"/>
    </xf>
    <xf borderId="5" fillId="4" fontId="12" numFmtId="0" xfId="0" applyAlignment="1" applyBorder="1" applyFill="1" applyFont="1">
      <alignment horizontal="center" shrinkToFit="0" vertical="center" wrapText="1"/>
    </xf>
    <xf borderId="5" fillId="4" fontId="5" numFmtId="164" xfId="0" applyAlignment="1" applyBorder="1" applyFill="1" applyFont="1" applyNumberFormat="1">
      <alignment horizontal="right" shrinkToFit="0" vertical="center" wrapText="1"/>
    </xf>
    <xf borderId="5" fillId="4" fontId="5" numFmtId="9" xfId="0" applyAlignment="1" applyBorder="1" applyFill="1" applyFont="1" applyNumberFormat="1">
      <alignment horizontal="center" shrinkToFit="0" vertical="center" wrapText="1"/>
    </xf>
    <xf borderId="5" fillId="4" fontId="12" numFmtId="166" xfId="0" applyAlignment="1" applyBorder="1" applyFill="1" applyFont="1" applyNumberFormat="1">
      <alignment horizontal="center" shrinkToFit="0" vertical="center" wrapText="1"/>
    </xf>
    <xf borderId="5" fillId="4" fontId="5" numFmtId="166" xfId="0" applyAlignment="1" applyBorder="1" applyFill="1" applyFont="1" applyNumberFormat="1">
      <alignment horizontal="center" shrinkToFit="0" vertical="center" wrapText="1"/>
    </xf>
    <xf borderId="1" fillId="4" fontId="12" numFmtId="0" xfId="0" applyAlignment="1" applyBorder="1" applyFill="1" applyFont="1">
      <alignment horizontal="left" shrinkToFit="0" vertical="center" wrapText="0"/>
    </xf>
    <xf borderId="11" fillId="4" fontId="12" numFmtId="0" xfId="0" applyAlignment="1" applyBorder="1" applyFill="1" applyFont="1">
      <alignment shrinkToFit="0" vertical="center" wrapText="1"/>
    </xf>
    <xf borderId="11" fillId="4" fontId="16" numFmtId="0" xfId="0" applyAlignment="1" applyBorder="1" applyFill="1" applyFont="1">
      <alignment shrinkToFit="0" vertical="center" wrapText="1"/>
    </xf>
    <xf borderId="4" fillId="10" fontId="25" numFmtId="0" xfId="0" applyAlignment="1" applyBorder="1" applyFill="1" applyFont="1">
      <alignment horizontal="center" shrinkToFit="0" vertical="center" wrapText="1"/>
    </xf>
    <xf borderId="4" fillId="8" fontId="26" numFmtId="164" xfId="0" applyAlignment="1" applyBorder="1" applyFill="1" applyFont="1" applyNumberFormat="1">
      <alignment horizontal="center" shrinkToFit="0" vertical="center" wrapText="0"/>
    </xf>
    <xf borderId="4" fillId="8" fontId="26" numFmtId="168" xfId="0" applyAlignment="1" applyBorder="1" applyFill="1" applyFont="1" applyNumberFormat="1">
      <alignment horizontal="center" shrinkToFit="0" vertical="center" wrapText="0"/>
    </xf>
    <xf borderId="4" fillId="8" fontId="26" numFmtId="3" xfId="0" applyAlignment="1" applyBorder="1" applyFill="1" applyFont="1" applyNumberFormat="1">
      <alignment horizontal="center" shrinkToFit="0" vertical="center" wrapText="0"/>
    </xf>
    <xf borderId="4" fillId="8" fontId="26" numFmtId="166" xfId="0" applyAlignment="1" applyBorder="1" applyFill="1" applyFont="1" applyNumberFormat="1">
      <alignment horizontal="center" shrinkToFit="0" vertical="center" wrapText="0"/>
    </xf>
    <xf borderId="5" fillId="10" fontId="26" numFmtId="0" xfId="0" applyAlignment="1" applyBorder="1" applyFill="1" applyFont="1">
      <alignment horizontal="left" shrinkToFit="0" vertical="center" wrapText="0"/>
    </xf>
    <xf borderId="4" fillId="10" fontId="27" numFmtId="0" xfId="0" applyAlignment="1" applyBorder="1" applyFill="1" applyFont="1">
      <alignment horizontal="center" shrinkToFit="0" vertical="center" wrapText="1"/>
    </xf>
    <xf borderId="4" fillId="0" fontId="16" numFmtId="0" xfId="0" applyAlignment="1" applyBorder="1" applyFont="1">
      <alignment horizontal="left" shrinkToFit="0" vertical="center" wrapText="0"/>
    </xf>
    <xf borderId="4" fillId="0" fontId="16" numFmtId="164" xfId="0" applyAlignment="1" applyBorder="1" applyFont="1" applyNumberFormat="1">
      <alignment horizontal="right" shrinkToFit="0" vertical="center" wrapText="0"/>
    </xf>
    <xf borderId="4" fillId="0" fontId="16" numFmtId="169" xfId="0" applyAlignment="1" applyBorder="1" applyFont="1" applyNumberFormat="1">
      <alignment horizontal="center" shrinkToFit="0" vertical="center" wrapText="0"/>
    </xf>
    <xf borderId="4" fillId="8" fontId="26" numFmtId="0" xfId="0" applyAlignment="1" applyBorder="1" applyFill="1" applyFont="1">
      <alignment horizontal="left" shrinkToFit="0" vertical="center" wrapText="0"/>
    </xf>
    <xf borderId="4" fillId="8" fontId="26" numFmtId="164" xfId="0" applyAlignment="1" applyBorder="1" applyFill="1" applyFont="1" applyNumberFormat="1">
      <alignment horizontal="right" shrinkToFit="0" vertical="center" wrapText="0"/>
    </xf>
    <xf borderId="4" fillId="8" fontId="26" numFmtId="169" xfId="0" applyAlignment="1" applyBorder="1" applyFill="1" applyFont="1" applyNumberFormat="1">
      <alignment horizontal="center" shrinkToFit="0" vertical="center" wrapText="0"/>
    </xf>
    <xf borderId="4" fillId="8" fontId="26" numFmtId="0" xfId="0" applyAlignment="1" applyBorder="1" applyFill="1" applyFont="1">
      <alignment horizontal="center" shrinkToFit="0" vertical="center" wrapText="0"/>
    </xf>
    <xf borderId="5" fillId="10" fontId="25" numFmtId="0" xfId="0" applyAlignment="1" applyBorder="1" applyFill="1" applyFont="1">
      <alignment horizontal="center" shrinkToFit="0" vertical="center" wrapText="1"/>
    </xf>
    <xf borderId="4" fillId="4" fontId="28" numFmtId="0" xfId="0" applyAlignment="1" applyBorder="1" applyFill="1" applyFont="1">
      <alignment shrinkToFit="0" vertical="bottom" wrapText="0"/>
    </xf>
    <xf borderId="4" fillId="7" fontId="16" numFmtId="3" xfId="0" applyAlignment="1" applyBorder="1" applyFill="1" applyFont="1" applyNumberFormat="1">
      <alignment shrinkToFit="0" vertical="bottom" wrapText="0"/>
    </xf>
    <xf borderId="4" fillId="4" fontId="16" numFmtId="164" xfId="0" applyAlignment="1" applyBorder="1" applyFill="1" applyFont="1" applyNumberFormat="1">
      <alignment shrinkToFit="0" vertical="bottom" wrapText="0"/>
    </xf>
    <xf borderId="4" fillId="4" fontId="16" numFmtId="0" xfId="0" applyAlignment="1" applyBorder="1" applyFill="1" applyFont="1">
      <alignment shrinkToFit="0" vertical="bottom" wrapText="0"/>
    </xf>
    <xf borderId="4" fillId="4" fontId="16" numFmtId="166" xfId="0" applyAlignment="1" applyBorder="1" applyFill="1" applyFont="1" applyNumberFormat="1">
      <alignment shrinkToFit="0" vertical="bottom" wrapText="0"/>
    </xf>
    <xf borderId="5" fillId="4" fontId="16" numFmtId="0" xfId="0" applyAlignment="1" applyBorder="1" applyFill="1" applyFont="1">
      <alignment horizontal="left" shrinkToFit="0" vertical="center" wrapText="1"/>
    </xf>
    <xf borderId="4" fillId="7" fontId="5" numFmtId="3" xfId="0" applyAlignment="1" applyBorder="1" applyFill="1" applyFont="1" applyNumberFormat="1">
      <alignment shrinkToFit="0" vertical="bottom" wrapText="0"/>
    </xf>
    <xf borderId="4" fillId="4" fontId="5" numFmtId="164" xfId="0" applyAlignment="1" applyBorder="1" applyFill="1" applyFont="1" applyNumberFormat="1">
      <alignment shrinkToFit="0" vertical="bottom" wrapText="0"/>
    </xf>
    <xf borderId="4" fillId="4" fontId="5" numFmtId="0" xfId="0" applyAlignment="1" applyBorder="1" applyFill="1" applyFont="1">
      <alignment shrinkToFit="0" vertical="bottom" wrapText="0"/>
    </xf>
    <xf borderId="4" fillId="4" fontId="5" numFmtId="166" xfId="0" applyAlignment="1" applyBorder="1" applyFill="1" applyFont="1" applyNumberFormat="1">
      <alignment shrinkToFit="0" vertical="bottom" wrapText="0"/>
    </xf>
    <xf borderId="5" fillId="4" fontId="5" numFmtId="0" xfId="0" applyAlignment="1" applyBorder="1" applyFill="1" applyFont="1">
      <alignment horizontal="left" shrinkToFit="0" vertical="center" wrapText="1"/>
    </xf>
    <xf borderId="5" fillId="4" fontId="15" numFmtId="0" xfId="0" applyAlignment="1" applyBorder="1" applyFill="1" applyFont="1">
      <alignment horizontal="right" shrinkToFit="0" vertical="center" wrapText="0"/>
    </xf>
    <xf borderId="4" fillId="8" fontId="5" numFmtId="164" xfId="0" applyAlignment="1" applyBorder="1" applyFill="1" applyFont="1" applyNumberFormat="1">
      <alignment horizontal="right" shrinkToFit="0" vertical="center" wrapText="0"/>
    </xf>
    <xf borderId="4" fillId="4" fontId="16" numFmtId="164" xfId="0" applyAlignment="1" applyBorder="1" applyFill="1" applyFont="1" applyNumberFormat="1">
      <alignment horizontal="right" shrinkToFit="0" vertical="center" wrapText="0"/>
    </xf>
    <xf borderId="4" fillId="4" fontId="12" numFmtId="164" xfId="0" applyAlignment="1" applyBorder="1" applyFill="1" applyFont="1" applyNumberFormat="1">
      <alignment horizontal="right" shrinkToFit="0" vertical="center" wrapText="0"/>
    </xf>
    <xf borderId="4" fillId="4" fontId="26" numFmtId="164" xfId="0" applyAlignment="1" applyBorder="1" applyFill="1" applyFont="1" applyNumberFormat="1">
      <alignment shrinkToFit="0" vertical="bottom" wrapText="0"/>
    </xf>
    <xf borderId="12" fillId="11" fontId="11" numFmtId="0" xfId="0" applyAlignment="1" applyBorder="1" applyFill="1" applyFont="1">
      <alignment horizontal="center" shrinkToFit="0" vertical="center" wrapText="0"/>
    </xf>
    <xf borderId="13" fillId="0" fontId="4" numFmtId="0" xfId="0" applyBorder="1" applyFont="1"/>
    <xf borderId="14" fillId="0" fontId="4" numFmtId="0" xfId="0" applyBorder="1" applyFont="1"/>
    <xf borderId="4" fillId="4" fontId="16" numFmtId="0" xfId="0" applyAlignment="1" applyBorder="1" applyFill="1" applyFont="1">
      <alignment horizontal="left" shrinkToFit="0" vertical="center" wrapText="0"/>
    </xf>
    <xf borderId="4" fillId="4" fontId="16" numFmtId="166" xfId="0" applyAlignment="1" applyBorder="1" applyFill="1" applyFont="1" applyNumberFormat="1">
      <alignment horizontal="center" shrinkToFit="0" vertical="center" wrapText="0"/>
    </xf>
    <xf borderId="4" fillId="6" fontId="16" numFmtId="0" xfId="0" applyAlignment="1" applyBorder="1" applyFill="1" applyFont="1">
      <alignment horizontal="left" shrinkToFit="0" vertical="center" wrapText="0"/>
    </xf>
    <xf borderId="4" fillId="6" fontId="5" numFmtId="0" xfId="0" applyAlignment="1" applyBorder="1" applyFill="1" applyFont="1">
      <alignment shrinkToFit="0" vertical="bottom" wrapText="0"/>
    </xf>
    <xf borderId="5" fillId="8" fontId="12" numFmtId="0" xfId="0" applyAlignment="1" applyBorder="1" applyFill="1" applyFont="1">
      <alignment horizontal="right" shrinkToFit="0" vertical="center" wrapText="0"/>
    </xf>
    <xf borderId="4" fillId="4" fontId="5" numFmtId="0" xfId="0" applyAlignment="1" applyBorder="1" applyFill="1" applyFont="1">
      <alignment horizontal="center" shrinkToFit="0" vertical="center" wrapText="0"/>
    </xf>
    <xf borderId="0" fillId="0" fontId="16" numFmtId="0" xfId="0" applyAlignment="1" applyFont="1">
      <alignment shrinkToFit="0" vertical="bottom" wrapText="0"/>
    </xf>
    <xf borderId="0" fillId="0" fontId="16" numFmtId="3" xfId="0" applyAlignment="1" applyFont="1" applyNumberFormat="1">
      <alignment shrinkToFit="0" vertical="bottom" wrapText="0"/>
    </xf>
    <xf borderId="5" fillId="4" fontId="16" numFmtId="0" xfId="0" applyAlignment="1" applyBorder="1" applyFill="1" applyFont="1">
      <alignment shrinkToFit="0" vertical="center" wrapText="1"/>
    </xf>
    <xf borderId="15" fillId="0" fontId="4" numFmtId="0" xfId="0" applyBorder="1" applyFont="1"/>
    <xf borderId="5" fillId="4" fontId="12" numFmtId="0" xfId="0" applyAlignment="1" applyBorder="1" applyFill="1" applyFont="1">
      <alignment horizontal="left" shrinkToFit="0" vertical="center" wrapText="1"/>
    </xf>
    <xf borderId="5" fillId="4" fontId="11" numFmtId="0" xfId="0" applyAlignment="1" applyBorder="1" applyFill="1" applyFont="1">
      <alignment horizontal="left" shrinkToFit="0" vertical="center" wrapText="1"/>
    </xf>
    <xf borderId="1" fillId="14" fontId="11" numFmtId="0" xfId="0" applyAlignment="1" applyBorder="1" applyFill="1" applyFont="1">
      <alignment horizontal="left" shrinkToFit="0" vertical="center" wrapText="0"/>
    </xf>
    <xf borderId="0" fillId="0" fontId="12" numFmtId="0" xfId="0" applyAlignment="1" applyFont="1">
      <alignment shrinkToFit="0" vertical="bottom" wrapText="0"/>
    </xf>
    <xf borderId="4" fillId="7" fontId="16" numFmtId="0" xfId="0" applyAlignment="1" applyBorder="1" applyFill="1" applyFont="1">
      <alignment shrinkToFit="0" vertical="bottom" wrapText="0"/>
    </xf>
    <xf borderId="4" fillId="6" fontId="16" numFmtId="0" xfId="0" applyAlignment="1" applyBorder="1" applyFill="1" applyFont="1">
      <alignment shrinkToFit="0" vertical="bottom" wrapText="0"/>
    </xf>
    <xf borderId="4" fillId="8" fontId="16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1">
    <dxf>
      <font>
        <b/>
        <sz val="10.0"/>
        <color rgb="FF9C0006"/>
        <name val="Calibri"/>
      </font>
      <fill>
        <patternFill patternType="solid">
          <fgColor rgb="FFF8CBCB"/>
          <bgColor rgb="FFF8CB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mpla cmo" id="{836f3e86-9ea8-4847-b093-cb0cc01400d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7" dT="2026-08-04T17:08:52.00" personId="{836f3e86-9ea8-4847-b093-cb0cc01400d8}" id="{a35cb7bc-23a8-441d-964f-92606e78aef4}" done="0">
    <x18tc:text xml:space="preserve">Nessa coluna, colocar os meses vigentes de despesas do contrato (continuado ou não) no exercício 2027! Obs.: Se um contrato terá vigência até junho de 2027 e a unidade já tem pretensão de renovar a vigência, os meses de despesas em 2027 serão de 12 meses.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8" dT="2026-08-03T16:43:39.00" personId="{836f3e86-9ea8-4847-b093-cb0cc01400d8}" id="{211a5456-f4f2-4cd1-af63-0caebff8c371}" done="0">
    <x18tc:text xml:space="preserve">retirar
duplicados</x18tc:text>
  </x18tc:threadedComment>
  <x18tc:threadedComment ref="B15" dT="2026-08-03T16:47:20.00" personId="{836f3e86-9ea8-4847-b093-cb0cc01400d8}" id="{51177863-b705-45b4-a8b0-f9cbba8af8de}" done="0">
    <x18tc:text xml:space="preserve">Juntar valores gestão de frota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2.0"/>
    <col customWidth="1" min="3" max="3" width="64.0"/>
    <col customWidth="1" min="4" max="8" width="18.0"/>
    <col customWidth="1" min="9" max="10" width="12.0"/>
    <col customWidth="1" min="11" max="26" width="8.75"/>
  </cols>
  <sheetData>
    <row r="1" ht="25.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6"/>
      <c r="K1" s="5"/>
    </row>
    <row r="2" ht="14.25" customHeight="1">
      <c r="A2" s="7" t="s">
        <v>3</v>
      </c>
      <c r="K2" s="5"/>
    </row>
    <row r="3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ht="19.5" customHeight="1">
      <c r="A4" s="5"/>
      <c r="B4" s="11" t="s">
        <v>5</v>
      </c>
      <c r="C4" s="4"/>
      <c r="D4" s="4"/>
      <c r="E4" s="4"/>
      <c r="F4" s="4"/>
      <c r="G4" s="4"/>
      <c r="H4" s="4"/>
      <c r="I4" s="4"/>
      <c r="J4" s="6"/>
      <c r="K4" s="5"/>
    </row>
    <row r="5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ht="15.0" customHeight="1">
      <c r="A6" s="5"/>
      <c r="B6" s="12" t="s">
        <v>6</v>
      </c>
      <c r="C6" s="14" t="s">
        <v>8</v>
      </c>
      <c r="D6" s="5"/>
      <c r="E6" s="5"/>
      <c r="F6" s="5"/>
      <c r="G6" s="5"/>
      <c r="H6" s="5"/>
      <c r="I6" s="5"/>
      <c r="J6" s="5"/>
      <c r="K6" s="5"/>
    </row>
    <row r="7" ht="30.0" customHeight="1">
      <c r="A7" s="5"/>
      <c r="B7" s="18" t="s">
        <v>10</v>
      </c>
      <c r="C7" s="14" t="s">
        <v>11</v>
      </c>
      <c r="D7" s="5"/>
      <c r="E7" s="5"/>
      <c r="F7" s="5"/>
      <c r="G7" s="5"/>
      <c r="H7" s="5"/>
      <c r="I7" s="5"/>
      <c r="J7" s="5"/>
      <c r="K7" s="5"/>
    </row>
    <row r="8" ht="30.0" customHeight="1">
      <c r="A8" s="5"/>
      <c r="B8" s="19" t="s">
        <v>12</v>
      </c>
      <c r="C8" s="14" t="s">
        <v>13</v>
      </c>
      <c r="D8" s="5"/>
      <c r="E8" s="5"/>
      <c r="F8" s="5"/>
      <c r="G8" s="5"/>
      <c r="H8" s="5"/>
      <c r="I8" s="5"/>
      <c r="J8" s="5"/>
      <c r="K8" s="5"/>
    </row>
    <row r="9" ht="30.0" customHeight="1">
      <c r="A9" s="5"/>
      <c r="B9" s="21" t="s">
        <v>14</v>
      </c>
      <c r="C9" s="14" t="s">
        <v>16</v>
      </c>
      <c r="D9" s="5"/>
      <c r="E9" s="5"/>
      <c r="F9" s="5"/>
      <c r="G9" s="5"/>
      <c r="H9" s="5"/>
      <c r="I9" s="5"/>
      <c r="J9" s="5"/>
      <c r="K9" s="5"/>
    </row>
    <row r="10" ht="12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9.5" customHeight="1">
      <c r="A11" s="5"/>
      <c r="B11" s="23" t="s">
        <v>17</v>
      </c>
      <c r="C11" s="4"/>
      <c r="D11" s="4"/>
      <c r="E11" s="4"/>
      <c r="F11" s="4"/>
      <c r="G11" s="4"/>
      <c r="H11" s="4"/>
      <c r="I11" s="4"/>
      <c r="J11" s="6"/>
      <c r="K11" s="5"/>
    </row>
    <row r="12" ht="12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ht="15.0" customHeight="1">
      <c r="A13" s="5"/>
      <c r="B13" s="14" t="s">
        <v>25</v>
      </c>
      <c r="K13" s="5"/>
    </row>
    <row r="14" ht="15.0" customHeight="1">
      <c r="A14" s="5"/>
      <c r="B14" s="14" t="s">
        <v>28</v>
      </c>
      <c r="K14" s="5"/>
    </row>
    <row r="15" ht="15.0" customHeight="1">
      <c r="A15" s="5"/>
      <c r="B15" s="14" t="s">
        <v>32</v>
      </c>
      <c r="K15" s="5"/>
    </row>
    <row r="16" ht="15.0" customHeight="1">
      <c r="A16" s="5"/>
      <c r="B16" s="14" t="s">
        <v>34</v>
      </c>
      <c r="K16" s="5"/>
    </row>
    <row r="17" ht="15.0" customHeight="1">
      <c r="A17" s="5"/>
      <c r="B17" s="14" t="s">
        <v>38</v>
      </c>
      <c r="K17" s="5"/>
    </row>
    <row r="18" ht="15.0" customHeight="1">
      <c r="A18" s="5"/>
      <c r="B18" s="14" t="s">
        <v>42</v>
      </c>
      <c r="K18" s="5"/>
    </row>
    <row r="19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9.5" customHeight="1">
      <c r="A20" s="5"/>
      <c r="B20" s="34" t="s">
        <v>49</v>
      </c>
      <c r="C20" s="4"/>
      <c r="D20" s="4"/>
      <c r="E20" s="4"/>
      <c r="F20" s="4"/>
      <c r="G20" s="4"/>
      <c r="H20" s="4"/>
      <c r="I20" s="4"/>
      <c r="J20" s="6"/>
      <c r="K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ht="15.0" customHeight="1">
      <c r="A22" s="5"/>
      <c r="B22" s="39" t="s">
        <v>68</v>
      </c>
      <c r="K22" s="5"/>
    </row>
    <row r="23" ht="15.0" customHeight="1">
      <c r="A23" s="5"/>
      <c r="B23" s="39" t="s">
        <v>74</v>
      </c>
      <c r="K23" s="5"/>
    </row>
    <row r="24" ht="15.0" customHeight="1">
      <c r="A24" s="5"/>
      <c r="B24" s="39" t="s">
        <v>78</v>
      </c>
      <c r="K24" s="5"/>
    </row>
    <row r="25" ht="15.0" customHeight="1">
      <c r="A25" s="5"/>
      <c r="B25" s="39" t="s">
        <v>82</v>
      </c>
      <c r="K25" s="5"/>
    </row>
    <row r="26" ht="15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5"/>
      <c r="B27" s="43" t="s">
        <v>94</v>
      </c>
      <c r="C27" s="4"/>
      <c r="D27" s="4"/>
      <c r="E27" s="4"/>
      <c r="F27" s="4"/>
      <c r="G27" s="4"/>
      <c r="H27" s="4"/>
      <c r="I27" s="4"/>
      <c r="J27" s="6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15.0" customHeight="1">
      <c r="A29" s="5"/>
      <c r="B29" s="14" t="s">
        <v>103</v>
      </c>
      <c r="K29" s="5"/>
    </row>
    <row r="30" ht="15.0" customHeight="1">
      <c r="A30" s="5"/>
      <c r="B30" s="14" t="s">
        <v>107</v>
      </c>
      <c r="K30" s="5"/>
    </row>
    <row r="31" ht="15.0" customHeight="1">
      <c r="A31" s="5"/>
      <c r="B31" s="48" t="s">
        <v>112</v>
      </c>
      <c r="K31" s="5"/>
    </row>
    <row r="32" ht="15.0" customHeight="1">
      <c r="A32" s="5"/>
      <c r="B32" s="14" t="s">
        <v>118</v>
      </c>
      <c r="K32" s="5"/>
    </row>
    <row r="33" ht="15.0" customHeight="1">
      <c r="A33" s="5"/>
      <c r="B33" s="14" t="s">
        <v>120</v>
      </c>
      <c r="K33" s="5"/>
    </row>
    <row r="34" ht="15.0" customHeight="1">
      <c r="A34" s="5"/>
      <c r="B34" s="14" t="s">
        <v>122</v>
      </c>
      <c r="K34" s="5"/>
    </row>
    <row r="35" ht="15.0" customHeight="1">
      <c r="A35" s="5"/>
      <c r="B35" s="14" t="s">
        <v>126</v>
      </c>
      <c r="K35" s="5"/>
    </row>
    <row r="36" ht="15.0" customHeight="1">
      <c r="A36" s="5"/>
      <c r="B36" s="14" t="s">
        <v>130</v>
      </c>
      <c r="K36" s="5"/>
    </row>
    <row r="37" ht="15.0" customHeight="1">
      <c r="A37" s="5"/>
      <c r="B37" s="14" t="s">
        <v>132</v>
      </c>
      <c r="K37" s="5"/>
    </row>
    <row r="38" ht="19.5" customHeight="1">
      <c r="A38" s="5"/>
      <c r="B38" s="14" t="s">
        <v>134</v>
      </c>
      <c r="K38" s="5"/>
    </row>
    <row r="39" ht="14.25" customHeight="1">
      <c r="A39" s="5"/>
      <c r="B39" s="14" t="s">
        <v>136</v>
      </c>
      <c r="K39" s="5"/>
    </row>
    <row r="40" ht="15.0" customHeight="1">
      <c r="A40" s="5"/>
      <c r="B40" s="14" t="s">
        <v>139</v>
      </c>
      <c r="K40" s="5"/>
    </row>
    <row r="41" ht="15.0" customHeight="1">
      <c r="A41" s="5"/>
      <c r="B41" s="14" t="s">
        <v>142</v>
      </c>
      <c r="K41" s="5"/>
    </row>
    <row r="42" ht="15.0" customHeight="1">
      <c r="A42" s="5"/>
      <c r="B42" s="14" t="s">
        <v>143</v>
      </c>
      <c r="K42" s="5"/>
    </row>
    <row r="43" ht="15.0" customHeight="1">
      <c r="A43" s="5"/>
      <c r="B43" s="14" t="s">
        <v>144</v>
      </c>
      <c r="K43" s="5"/>
    </row>
    <row r="44" ht="15.0" customHeight="1">
      <c r="A44" s="5"/>
      <c r="B44" s="14" t="s">
        <v>147</v>
      </c>
      <c r="K44" s="5"/>
    </row>
    <row r="45" ht="15.0" customHeight="1">
      <c r="A45" s="5"/>
      <c r="B45" s="53" t="s">
        <v>150</v>
      </c>
      <c r="C45" s="4"/>
      <c r="D45" s="4"/>
      <c r="E45" s="4"/>
      <c r="F45" s="4"/>
      <c r="G45" s="4"/>
      <c r="H45" s="4"/>
      <c r="I45" s="4"/>
      <c r="J45" s="6"/>
      <c r="K45" s="5"/>
    </row>
    <row r="46" ht="15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.0" customHeight="1">
      <c r="A47" s="5"/>
      <c r="B47" s="14" t="s">
        <v>155</v>
      </c>
      <c r="K47" s="5"/>
    </row>
    <row r="48" ht="3.75" customHeight="1">
      <c r="A48" s="5"/>
      <c r="B48" s="14" t="s">
        <v>157</v>
      </c>
      <c r="K48" s="5"/>
    </row>
    <row r="49" ht="19.5" customHeight="1">
      <c r="A49" s="5"/>
      <c r="B49" s="14" t="s">
        <v>159</v>
      </c>
      <c r="K49" s="5"/>
    </row>
    <row r="50" ht="14.25" customHeight="1">
      <c r="A50" s="5"/>
      <c r="B50" s="59" t="s">
        <v>160</v>
      </c>
      <c r="K50" s="5"/>
    </row>
    <row r="51" ht="15.0" customHeight="1">
      <c r="A51" s="5"/>
      <c r="B51" s="14" t="s">
        <v>162</v>
      </c>
      <c r="K51" s="5"/>
    </row>
    <row r="52" ht="15.0" customHeight="1">
      <c r="A52" s="5"/>
      <c r="B52" s="14" t="s">
        <v>163</v>
      </c>
      <c r="K52" s="5"/>
    </row>
    <row r="53" ht="15.0" customHeight="1">
      <c r="A53" s="5"/>
      <c r="B53" s="14" t="s">
        <v>165</v>
      </c>
      <c r="K53" s="5"/>
    </row>
    <row r="54" ht="6.0" customHeight="1">
      <c r="A54" s="5"/>
      <c r="B54" s="48" t="s">
        <v>168</v>
      </c>
      <c r="K54" s="5"/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30.0" customHeight="1">
      <c r="A56" s="5"/>
      <c r="B56" s="62" t="s">
        <v>170</v>
      </c>
      <c r="C56" s="4"/>
      <c r="D56" s="4"/>
      <c r="E56" s="4"/>
      <c r="F56" s="4"/>
      <c r="G56" s="4"/>
      <c r="H56" s="4"/>
      <c r="I56" s="4"/>
      <c r="J56" s="6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14" t="s">
        <v>175</v>
      </c>
      <c r="K58" s="5"/>
    </row>
    <row r="59" ht="15.0" customHeight="1">
      <c r="A59" s="5"/>
      <c r="B59" s="14" t="s">
        <v>177</v>
      </c>
      <c r="K59" s="5"/>
    </row>
    <row r="60" ht="12.75" customHeight="1">
      <c r="A60" s="5"/>
      <c r="B60" s="14" t="s">
        <v>180</v>
      </c>
      <c r="K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9.5" customHeight="1">
      <c r="A62" s="5"/>
      <c r="B62" s="67" t="s">
        <v>184</v>
      </c>
      <c r="K62" s="5"/>
    </row>
    <row r="63" ht="6.0" customHeight="1">
      <c r="A63" s="5"/>
      <c r="B63" s="68" t="s">
        <v>185</v>
      </c>
      <c r="C63" s="32" t="s">
        <v>187</v>
      </c>
      <c r="D63" s="32" t="s">
        <v>188</v>
      </c>
      <c r="E63" s="32" t="s">
        <v>59</v>
      </c>
      <c r="F63" s="69" t="s">
        <v>37</v>
      </c>
      <c r="G63" s="6"/>
      <c r="H63" s="70"/>
      <c r="I63" s="71"/>
      <c r="J63" s="70"/>
      <c r="K63" s="5"/>
    </row>
    <row r="64" ht="15.0" customHeight="1">
      <c r="A64" s="5"/>
      <c r="B64" s="73" t="s">
        <v>193</v>
      </c>
      <c r="C64" s="75" t="s">
        <v>194</v>
      </c>
      <c r="D64" s="75" t="s">
        <v>196</v>
      </c>
      <c r="E64" s="75" t="s">
        <v>197</v>
      </c>
      <c r="F64" s="73" t="s">
        <v>198</v>
      </c>
      <c r="G64" s="16"/>
      <c r="H64" s="78"/>
      <c r="I64" s="71"/>
      <c r="J64" s="78"/>
      <c r="K64" s="5"/>
    </row>
    <row r="65" ht="15.0" customHeight="1">
      <c r="A65" s="5"/>
      <c r="B65" s="73" t="s">
        <v>193</v>
      </c>
      <c r="C65" s="75" t="s">
        <v>201</v>
      </c>
      <c r="D65" s="75" t="s">
        <v>202</v>
      </c>
      <c r="E65" s="75" t="s">
        <v>203</v>
      </c>
      <c r="F65" s="73" t="s">
        <v>205</v>
      </c>
      <c r="G65" s="16"/>
      <c r="H65" s="78"/>
      <c r="I65" s="71"/>
      <c r="J65" s="78"/>
      <c r="K65" s="5"/>
    </row>
    <row r="66" ht="30.0" customHeight="1">
      <c r="A66" s="5"/>
      <c r="B66" s="81" t="s">
        <v>206</v>
      </c>
      <c r="K66" s="5"/>
    </row>
    <row r="67" ht="30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ht="30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ht="30.0" customHeight="1">
      <c r="A69" s="5"/>
      <c r="B69" s="83" t="s">
        <v>212</v>
      </c>
      <c r="C69" s="4"/>
      <c r="D69" s="4"/>
      <c r="E69" s="4"/>
      <c r="F69" s="4"/>
      <c r="G69" s="4"/>
      <c r="H69" s="4"/>
      <c r="I69" s="4"/>
      <c r="J69" s="6"/>
      <c r="K69" s="5"/>
    </row>
    <row r="70" ht="30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ht="30.0" customHeight="1">
      <c r="A71" s="5"/>
      <c r="B71" s="48" t="s">
        <v>216</v>
      </c>
      <c r="K71" s="5"/>
    </row>
    <row r="72" ht="30.0" customHeight="1">
      <c r="A72" s="5"/>
      <c r="B72" s="85" t="s">
        <v>218</v>
      </c>
      <c r="C72" s="15"/>
      <c r="D72" s="15"/>
      <c r="E72" s="15"/>
      <c r="F72" s="15"/>
      <c r="G72" s="15"/>
      <c r="H72" s="15"/>
      <c r="I72" s="15"/>
      <c r="J72" s="16"/>
      <c r="K72" s="5"/>
    </row>
    <row r="73" ht="15.0" customHeight="1">
      <c r="A73" s="5"/>
      <c r="B73" s="87" t="s">
        <v>221</v>
      </c>
      <c r="C73" s="59" t="s">
        <v>224</v>
      </c>
      <c r="D73" s="5"/>
      <c r="E73" s="5"/>
      <c r="F73" s="5"/>
      <c r="G73" s="5"/>
      <c r="H73" s="5"/>
      <c r="I73" s="5"/>
      <c r="J73" s="5"/>
      <c r="K73" s="5"/>
    </row>
    <row r="74" ht="15.0" customHeight="1">
      <c r="A74" s="5"/>
      <c r="B74" s="87" t="s">
        <v>225</v>
      </c>
      <c r="C74" s="59" t="s">
        <v>226</v>
      </c>
      <c r="D74" s="5"/>
      <c r="E74" s="5"/>
      <c r="F74" s="5"/>
      <c r="G74" s="5"/>
      <c r="H74" s="5"/>
      <c r="I74" s="5"/>
      <c r="J74" s="5"/>
      <c r="K74" s="5"/>
    </row>
    <row r="75" ht="30.0" customHeight="1">
      <c r="A75" s="5"/>
      <c r="B75" s="87" t="s">
        <v>51</v>
      </c>
      <c r="C75" s="59" t="s">
        <v>228</v>
      </c>
      <c r="D75" s="5"/>
      <c r="E75" s="5"/>
      <c r="F75" s="5"/>
      <c r="G75" s="5"/>
      <c r="H75" s="5"/>
      <c r="I75" s="5"/>
      <c r="J75" s="5"/>
      <c r="K75" s="5"/>
    </row>
    <row r="76" ht="30.0" customHeight="1">
      <c r="A76" s="5"/>
      <c r="B76" s="87" t="s">
        <v>234</v>
      </c>
      <c r="C76" s="59" t="s">
        <v>236</v>
      </c>
      <c r="D76" s="5"/>
      <c r="E76" s="5"/>
      <c r="F76" s="5"/>
      <c r="G76" s="5"/>
      <c r="H76" s="5"/>
      <c r="I76" s="5"/>
      <c r="J76" s="5"/>
      <c r="K76" s="5"/>
    </row>
    <row r="77" ht="30.0" customHeight="1">
      <c r="A77" s="5"/>
      <c r="B77" s="87" t="s">
        <v>93</v>
      </c>
      <c r="C77" s="59" t="s">
        <v>241</v>
      </c>
      <c r="D77" s="5"/>
      <c r="E77" s="5"/>
      <c r="F77" s="5"/>
      <c r="G77" s="5"/>
      <c r="H77" s="5"/>
      <c r="I77" s="5"/>
      <c r="J77" s="5"/>
      <c r="K77" s="5"/>
    </row>
    <row r="78" ht="30.0" customHeight="1">
      <c r="A78" s="5"/>
      <c r="B78" s="90" t="s">
        <v>237</v>
      </c>
      <c r="C78" s="59" t="s">
        <v>247</v>
      </c>
      <c r="D78" s="5"/>
      <c r="E78" s="5"/>
      <c r="F78" s="5"/>
      <c r="G78" s="5"/>
      <c r="H78" s="5"/>
      <c r="I78" s="5"/>
      <c r="J78" s="5"/>
      <c r="K78" s="5"/>
    </row>
    <row r="79" ht="15.0" customHeight="1">
      <c r="A79" s="5"/>
      <c r="B79" s="90" t="s">
        <v>249</v>
      </c>
      <c r="C79" s="59" t="s">
        <v>250</v>
      </c>
      <c r="D79" s="5"/>
      <c r="E79" s="5"/>
      <c r="F79" s="5"/>
      <c r="G79" s="5"/>
      <c r="H79" s="5"/>
      <c r="I79" s="5"/>
      <c r="J79" s="5"/>
      <c r="K79" s="5"/>
    </row>
    <row r="80" ht="15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ht="30.0" customHeight="1">
      <c r="A81" s="5"/>
      <c r="B81" s="93" t="s">
        <v>256</v>
      </c>
      <c r="K81" s="5"/>
    </row>
    <row r="82" ht="30.0" customHeight="1">
      <c r="A82" s="5"/>
      <c r="B82" s="90" t="s">
        <v>258</v>
      </c>
      <c r="C82" s="59" t="s">
        <v>259</v>
      </c>
      <c r="D82" s="5"/>
      <c r="E82" s="5"/>
      <c r="F82" s="5"/>
      <c r="G82" s="5"/>
      <c r="H82" s="5"/>
      <c r="I82" s="5"/>
      <c r="J82" s="5"/>
      <c r="K82" s="5"/>
    </row>
    <row r="83" ht="30.0" customHeight="1">
      <c r="A83" s="5"/>
      <c r="B83" s="90" t="s">
        <v>261</v>
      </c>
      <c r="C83" s="59" t="s">
        <v>262</v>
      </c>
      <c r="D83" s="5"/>
      <c r="E83" s="5"/>
      <c r="F83" s="5"/>
      <c r="G83" s="5"/>
      <c r="H83" s="5"/>
      <c r="I83" s="5"/>
      <c r="J83" s="5"/>
      <c r="K83" s="5"/>
    </row>
    <row r="84" ht="30.0" customHeight="1">
      <c r="A84" s="5"/>
      <c r="B84" s="90" t="s">
        <v>264</v>
      </c>
      <c r="C84" s="59" t="s">
        <v>265</v>
      </c>
      <c r="D84" s="5"/>
      <c r="E84" s="5"/>
      <c r="F84" s="5"/>
      <c r="G84" s="5"/>
      <c r="H84" s="5"/>
      <c r="I84" s="5"/>
      <c r="J84" s="5"/>
      <c r="K84" s="5"/>
    </row>
    <row r="85" ht="15.0" customHeight="1">
      <c r="A85" s="5"/>
      <c r="B85" s="90" t="s">
        <v>267</v>
      </c>
      <c r="C85" s="59" t="s">
        <v>268</v>
      </c>
      <c r="D85" s="5"/>
      <c r="E85" s="5"/>
      <c r="F85" s="5"/>
      <c r="G85" s="5"/>
      <c r="H85" s="5"/>
      <c r="I85" s="5"/>
      <c r="J85" s="5"/>
      <c r="K85" s="5"/>
    </row>
    <row r="86" ht="30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ht="30.0" customHeight="1">
      <c r="A87" s="5"/>
      <c r="B87" s="93" t="s">
        <v>273</v>
      </c>
      <c r="K87" s="5"/>
    </row>
    <row r="88" ht="15.0" customHeight="1">
      <c r="A88" s="5"/>
      <c r="B88" s="90" t="s">
        <v>276</v>
      </c>
      <c r="C88" s="59" t="s">
        <v>277</v>
      </c>
      <c r="D88" s="5"/>
      <c r="E88" s="5"/>
      <c r="F88" s="5"/>
      <c r="G88" s="5"/>
      <c r="H88" s="5"/>
      <c r="I88" s="5"/>
      <c r="J88" s="5"/>
      <c r="K88" s="5"/>
    </row>
    <row r="89" ht="15.0" customHeight="1">
      <c r="A89" s="5"/>
      <c r="B89" s="90" t="s">
        <v>279</v>
      </c>
      <c r="C89" s="59" t="s">
        <v>280</v>
      </c>
      <c r="D89" s="5"/>
      <c r="E89" s="5"/>
      <c r="F89" s="5"/>
      <c r="G89" s="5"/>
      <c r="H89" s="5"/>
      <c r="I89" s="5"/>
      <c r="J89" s="5"/>
      <c r="K89" s="5"/>
    </row>
    <row r="90" ht="30.0" customHeight="1">
      <c r="A90" s="5"/>
      <c r="B90" s="90" t="s">
        <v>282</v>
      </c>
      <c r="C90" s="59" t="s">
        <v>284</v>
      </c>
      <c r="D90" s="5"/>
      <c r="E90" s="5"/>
      <c r="F90" s="5"/>
      <c r="G90" s="5"/>
      <c r="H90" s="5"/>
      <c r="I90" s="5"/>
      <c r="J90" s="5"/>
      <c r="K90" s="5"/>
    </row>
    <row r="91" ht="15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ht="30.0" customHeight="1">
      <c r="A92" s="5"/>
      <c r="B92" s="93" t="s">
        <v>287</v>
      </c>
      <c r="K92" s="5"/>
    </row>
    <row r="93" ht="19.5" customHeight="1">
      <c r="A93" s="5"/>
      <c r="B93" s="90" t="s">
        <v>288</v>
      </c>
      <c r="C93" s="59" t="s">
        <v>289</v>
      </c>
      <c r="D93" s="5"/>
      <c r="E93" s="5"/>
      <c r="F93" s="5"/>
      <c r="G93" s="5"/>
      <c r="H93" s="5"/>
      <c r="I93" s="5"/>
      <c r="J93" s="5"/>
      <c r="K93" s="5"/>
    </row>
    <row r="94" ht="12.75" customHeight="1">
      <c r="A94" s="5"/>
      <c r="B94" s="90" t="s">
        <v>290</v>
      </c>
      <c r="C94" s="59" t="s">
        <v>291</v>
      </c>
      <c r="D94" s="5"/>
      <c r="E94" s="5"/>
      <c r="F94" s="5"/>
      <c r="G94" s="5"/>
      <c r="H94" s="5"/>
      <c r="I94" s="5"/>
      <c r="J94" s="5"/>
      <c r="K94" s="5"/>
    </row>
    <row r="95" ht="15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ht="15.0" customHeight="1">
      <c r="A96" s="5"/>
      <c r="B96" s="48" t="s">
        <v>295</v>
      </c>
      <c r="K96" s="5"/>
    </row>
    <row r="97" ht="15.0" customHeight="1">
      <c r="A97" s="5"/>
      <c r="B97" s="98" t="s">
        <v>296</v>
      </c>
      <c r="C97" s="14" t="s">
        <v>298</v>
      </c>
      <c r="D97" s="5"/>
      <c r="E97" s="5"/>
      <c r="F97" s="5"/>
      <c r="G97" s="5"/>
      <c r="H97" s="5"/>
      <c r="I97" s="5"/>
      <c r="J97" s="5"/>
      <c r="K97" s="5"/>
    </row>
    <row r="98" ht="15.0" customHeight="1">
      <c r="A98" s="5"/>
      <c r="B98" s="98" t="s">
        <v>300</v>
      </c>
      <c r="C98" s="14" t="s">
        <v>301</v>
      </c>
      <c r="D98" s="5"/>
      <c r="E98" s="5"/>
      <c r="F98" s="5"/>
      <c r="G98" s="5"/>
      <c r="H98" s="5"/>
      <c r="I98" s="5"/>
      <c r="J98" s="5"/>
      <c r="K98" s="5"/>
    </row>
    <row r="99" ht="15.0" customHeight="1">
      <c r="A99" s="5"/>
      <c r="B99" s="87" t="s">
        <v>306</v>
      </c>
      <c r="C99" s="59" t="s">
        <v>307</v>
      </c>
      <c r="D99" s="5"/>
      <c r="E99" s="5"/>
      <c r="F99" s="5"/>
      <c r="G99" s="5"/>
      <c r="H99" s="5"/>
      <c r="I99" s="5"/>
      <c r="J99" s="5"/>
      <c r="K99" s="5"/>
    </row>
    <row r="100" ht="30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ht="12.75" customHeight="1">
      <c r="A101" s="5"/>
      <c r="B101" s="48" t="s">
        <v>309</v>
      </c>
      <c r="K101" s="5"/>
    </row>
    <row r="102" ht="15.0" customHeight="1">
      <c r="A102" s="5"/>
      <c r="B102" s="98" t="s">
        <v>310</v>
      </c>
      <c r="C102" s="14" t="s">
        <v>313</v>
      </c>
      <c r="D102" s="5"/>
      <c r="E102" s="5"/>
      <c r="F102" s="5"/>
      <c r="G102" s="5"/>
      <c r="H102" s="5"/>
      <c r="I102" s="5"/>
      <c r="J102" s="5"/>
      <c r="K102" s="5"/>
    </row>
    <row r="103" ht="30.0" customHeight="1">
      <c r="A103" s="5"/>
      <c r="B103" s="87" t="s">
        <v>189</v>
      </c>
      <c r="C103" s="59" t="s">
        <v>317</v>
      </c>
      <c r="D103" s="5"/>
      <c r="E103" s="5"/>
      <c r="F103" s="5"/>
      <c r="G103" s="5"/>
      <c r="H103" s="5"/>
      <c r="I103" s="5"/>
      <c r="J103" s="5"/>
      <c r="K103" s="5"/>
    </row>
    <row r="104" ht="12.75" customHeight="1">
      <c r="A104" s="5"/>
      <c r="B104" s="98" t="s">
        <v>315</v>
      </c>
      <c r="C104" s="14" t="s">
        <v>319</v>
      </c>
      <c r="D104" s="5"/>
      <c r="E104" s="5"/>
      <c r="F104" s="5"/>
      <c r="G104" s="5"/>
      <c r="H104" s="5"/>
      <c r="I104" s="5"/>
      <c r="J104" s="5"/>
      <c r="K104" s="5"/>
    </row>
    <row r="105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ht="30.0" customHeight="1">
      <c r="A106" s="5"/>
      <c r="B106" s="48" t="s">
        <v>322</v>
      </c>
      <c r="K106" s="5"/>
    </row>
    <row r="107" ht="13.5" customHeight="1">
      <c r="A107" s="5"/>
      <c r="B107" s="105" t="s">
        <v>197</v>
      </c>
      <c r="C107" s="14" t="s">
        <v>327</v>
      </c>
      <c r="D107" s="5"/>
      <c r="E107" s="5"/>
      <c r="F107" s="5"/>
      <c r="G107" s="5"/>
      <c r="H107" s="5"/>
      <c r="I107" s="5"/>
      <c r="J107" s="5"/>
      <c r="K107" s="5"/>
    </row>
    <row r="108" ht="12.75" customHeight="1">
      <c r="A108" s="5"/>
      <c r="B108" s="105" t="s">
        <v>329</v>
      </c>
      <c r="C108" s="14" t="s">
        <v>330</v>
      </c>
      <c r="D108" s="5"/>
      <c r="E108" s="5"/>
      <c r="F108" s="5"/>
      <c r="G108" s="5"/>
      <c r="H108" s="5"/>
      <c r="I108" s="5"/>
      <c r="J108" s="5"/>
      <c r="K108" s="5"/>
    </row>
    <row r="109" ht="14.25" customHeight="1">
      <c r="A109" s="5"/>
      <c r="B109" s="105" t="s">
        <v>203</v>
      </c>
      <c r="C109" s="14" t="s">
        <v>334</v>
      </c>
      <c r="D109" s="5"/>
      <c r="E109" s="5"/>
      <c r="F109" s="5"/>
      <c r="G109" s="5"/>
      <c r="H109" s="5"/>
      <c r="I109" s="5"/>
      <c r="J109" s="5"/>
      <c r="K109" s="5"/>
    </row>
    <row r="110" ht="12.75" customHeight="1">
      <c r="A110" s="5"/>
      <c r="B110" s="90" t="s">
        <v>338</v>
      </c>
      <c r="C110" s="59" t="s">
        <v>339</v>
      </c>
      <c r="D110" s="5"/>
      <c r="E110" s="5"/>
      <c r="F110" s="5"/>
      <c r="G110" s="5"/>
      <c r="H110" s="5"/>
      <c r="I110" s="5"/>
      <c r="J110" s="5"/>
      <c r="K110" s="5"/>
    </row>
    <row r="111" ht="13.5" customHeight="1">
      <c r="A111" s="5"/>
      <c r="B111" s="105" t="s">
        <v>341</v>
      </c>
      <c r="C111" s="14" t="s">
        <v>342</v>
      </c>
      <c r="D111" s="5"/>
      <c r="E111" s="5"/>
      <c r="F111" s="5"/>
      <c r="G111" s="5"/>
      <c r="H111" s="5"/>
      <c r="I111" s="5"/>
      <c r="J111" s="5"/>
      <c r="K111" s="5"/>
    </row>
    <row r="112" ht="13.5" customHeight="1">
      <c r="A112" s="5"/>
      <c r="B112" s="48" t="s">
        <v>344</v>
      </c>
      <c r="K112" s="5"/>
    </row>
    <row r="113" ht="13.5" customHeight="1">
      <c r="A113" s="5"/>
      <c r="B113" s="59" t="s">
        <v>345</v>
      </c>
      <c r="K113" s="5"/>
    </row>
    <row r="114" ht="13.5" customHeight="1">
      <c r="A114" s="5"/>
      <c r="B114" s="14" t="s">
        <v>347</v>
      </c>
      <c r="K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ht="12.75" customHeight="1">
      <c r="A116" s="5"/>
      <c r="B116" s="11" t="s">
        <v>351</v>
      </c>
      <c r="C116" s="4"/>
      <c r="D116" s="4"/>
      <c r="E116" s="4"/>
      <c r="F116" s="4"/>
      <c r="G116" s="4"/>
      <c r="H116" s="4"/>
      <c r="I116" s="4"/>
      <c r="J116" s="6"/>
      <c r="K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ht="12.75" customHeight="1">
      <c r="A118" s="5"/>
      <c r="B118" s="113" t="s">
        <v>354</v>
      </c>
      <c r="C118" s="15"/>
      <c r="D118" s="15"/>
      <c r="E118" s="15"/>
      <c r="F118" s="15"/>
      <c r="G118" s="15"/>
      <c r="H118" s="15"/>
      <c r="I118" s="15"/>
      <c r="J118" s="16"/>
      <c r="K118" s="5"/>
    </row>
    <row r="119" ht="13.5" customHeight="1">
      <c r="A119" s="5"/>
      <c r="B119" s="113" t="s">
        <v>357</v>
      </c>
      <c r="C119" s="15"/>
      <c r="D119" s="15"/>
      <c r="E119" s="15"/>
      <c r="F119" s="15"/>
      <c r="G119" s="15"/>
      <c r="H119" s="15"/>
      <c r="I119" s="15"/>
      <c r="J119" s="16"/>
      <c r="K119" s="5"/>
    </row>
    <row r="120" ht="13.5" customHeight="1">
      <c r="A120" s="5"/>
      <c r="B120" s="113" t="s">
        <v>358</v>
      </c>
      <c r="C120" s="15"/>
      <c r="D120" s="15"/>
      <c r="E120" s="15"/>
      <c r="F120" s="15"/>
      <c r="G120" s="15"/>
      <c r="H120" s="15"/>
      <c r="I120" s="15"/>
      <c r="J120" s="16"/>
      <c r="K120" s="5"/>
    </row>
    <row r="121" ht="13.5" customHeight="1">
      <c r="A121" s="5"/>
      <c r="B121" s="113" t="s">
        <v>359</v>
      </c>
      <c r="C121" s="15"/>
      <c r="D121" s="15"/>
      <c r="E121" s="15"/>
      <c r="F121" s="15"/>
      <c r="G121" s="15"/>
      <c r="H121" s="15"/>
      <c r="I121" s="15"/>
      <c r="J121" s="16"/>
      <c r="K121" s="5"/>
    </row>
    <row r="122" ht="12.75" customHeight="1">
      <c r="A122" s="5"/>
      <c r="B122" s="117"/>
      <c r="C122" s="5"/>
      <c r="D122" s="5"/>
      <c r="E122" s="5"/>
      <c r="F122" s="5"/>
      <c r="G122" s="5"/>
      <c r="H122" s="5"/>
      <c r="I122" s="5"/>
      <c r="J122" s="5"/>
      <c r="K122" s="5"/>
    </row>
    <row r="123" ht="12.75" customHeight="1">
      <c r="A123" s="5"/>
      <c r="B123" s="118"/>
      <c r="C123" s="5"/>
      <c r="D123" s="5"/>
      <c r="E123" s="5"/>
      <c r="F123" s="5"/>
      <c r="G123" s="5"/>
      <c r="H123" s="5"/>
      <c r="I123" s="5"/>
      <c r="J123" s="5"/>
      <c r="K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ht="12.75" customHeight="1">
      <c r="A125" s="5"/>
      <c r="B125" s="120" t="s">
        <v>366</v>
      </c>
      <c r="K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</sheetData>
  <mergeCells count="68">
    <mergeCell ref="B58:J58"/>
    <mergeCell ref="B59:J59"/>
    <mergeCell ref="B60:J60"/>
    <mergeCell ref="B62:J62"/>
    <mergeCell ref="F63:G63"/>
    <mergeCell ref="F64:G64"/>
    <mergeCell ref="F65:G65"/>
    <mergeCell ref="B66:J66"/>
    <mergeCell ref="B69:J69"/>
    <mergeCell ref="B71:J71"/>
    <mergeCell ref="B72:J72"/>
    <mergeCell ref="B81:J81"/>
    <mergeCell ref="B87:J87"/>
    <mergeCell ref="B92:J92"/>
    <mergeCell ref="A1:J1"/>
    <mergeCell ref="A2:J2"/>
    <mergeCell ref="B4:J4"/>
    <mergeCell ref="B11:J11"/>
    <mergeCell ref="B13:J13"/>
    <mergeCell ref="B14:J14"/>
    <mergeCell ref="B15:J15"/>
    <mergeCell ref="B16:J16"/>
    <mergeCell ref="B17:J17"/>
    <mergeCell ref="B18:J18"/>
    <mergeCell ref="B20:J20"/>
    <mergeCell ref="B22:J22"/>
    <mergeCell ref="B23:J23"/>
    <mergeCell ref="B24:J24"/>
    <mergeCell ref="B25:J25"/>
    <mergeCell ref="B27:J27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7:J47"/>
    <mergeCell ref="B48:J48"/>
    <mergeCell ref="B49:J49"/>
    <mergeCell ref="B50:J50"/>
    <mergeCell ref="B51:J51"/>
    <mergeCell ref="B52:J52"/>
    <mergeCell ref="B53:J53"/>
    <mergeCell ref="B54:J54"/>
    <mergeCell ref="B56:J56"/>
    <mergeCell ref="B118:J118"/>
    <mergeCell ref="B119:J119"/>
    <mergeCell ref="B120:J120"/>
    <mergeCell ref="B121:J121"/>
    <mergeCell ref="B125:J125"/>
    <mergeCell ref="B96:J96"/>
    <mergeCell ref="B101:J101"/>
    <mergeCell ref="B106:J106"/>
    <mergeCell ref="B112:J112"/>
    <mergeCell ref="B113:J113"/>
    <mergeCell ref="B114:J114"/>
    <mergeCell ref="B116:J1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8.0"/>
    <col customWidth="1" min="3" max="3" width="34.75"/>
    <col customWidth="1" min="4" max="4" width="22.63"/>
    <col customWidth="1" min="5" max="5" width="14.0"/>
    <col customWidth="1" min="6" max="6" width="48.38"/>
    <col customWidth="1" min="7" max="7" width="66.63"/>
    <col customWidth="1" min="8" max="8" width="20.0"/>
    <col customWidth="1" min="9" max="10" width="13.0"/>
    <col customWidth="1" min="11" max="11" width="12.0"/>
    <col customWidth="1" min="12" max="12" width="13.0"/>
    <col customWidth="1" min="13" max="13" width="14.0"/>
    <col customWidth="1" min="14" max="14" width="12.0"/>
    <col customWidth="1" min="15" max="15" width="14.0"/>
    <col customWidth="1" min="16" max="16" width="11.0"/>
    <col customWidth="1" min="17" max="18" width="14.0"/>
    <col customWidth="1" min="19" max="19" width="11.0"/>
    <col customWidth="1" min="20" max="21" width="15.0"/>
    <col customWidth="1" min="22" max="22" width="28.0"/>
    <col customWidth="1" min="23" max="23" width="16.0"/>
    <col customWidth="1" min="24" max="26" width="8.75"/>
  </cols>
  <sheetData>
    <row r="1" ht="24.0" customHeight="1">
      <c r="A1" s="3" t="s">
        <v>1</v>
      </c>
      <c r="W1" s="5"/>
    </row>
    <row r="2" ht="6.0" customHeight="1">
      <c r="A2" s="5"/>
      <c r="B2" s="5"/>
      <c r="C2" s="8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25.5" customHeight="1">
      <c r="A3" s="9" t="s">
        <v>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6"/>
      <c r="W3" s="5"/>
    </row>
    <row r="4" ht="6.0" customHeight="1">
      <c r="A4" s="5"/>
      <c r="B4" s="5"/>
      <c r="C4" s="8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19.5" customHeight="1">
      <c r="A5" s="13" t="s">
        <v>7</v>
      </c>
      <c r="B5" s="15"/>
      <c r="C5" s="16"/>
      <c r="D5" s="17"/>
      <c r="E5" s="17"/>
      <c r="F5" s="17"/>
      <c r="G5" s="8"/>
      <c r="H5" s="27"/>
      <c r="I5" s="17"/>
      <c r="J5" s="17"/>
      <c r="K5" s="17"/>
      <c r="L5" s="17"/>
      <c r="M5" s="20">
        <f>SUM(M8:M107)</f>
        <v>93551.81</v>
      </c>
      <c r="N5" s="17"/>
      <c r="O5" s="20">
        <f>SUM(O8:O107)</f>
        <v>1101021.72</v>
      </c>
      <c r="P5" s="17"/>
      <c r="Q5" s="20">
        <f t="shared" ref="Q5:R5" si="1">SUM(Q8:Q107)</f>
        <v>1085331.76</v>
      </c>
      <c r="R5" s="20">
        <f t="shared" si="1"/>
        <v>15689.96</v>
      </c>
      <c r="S5" s="17"/>
      <c r="T5" s="20">
        <f t="shared" ref="T5:U5" si="2">SUM(T8:T107)</f>
        <v>5462.32</v>
      </c>
      <c r="U5" s="20">
        <f t="shared" si="2"/>
        <v>18220.68</v>
      </c>
      <c r="V5" s="17"/>
      <c r="W5" s="5"/>
    </row>
    <row r="6" ht="6.0" customHeight="1">
      <c r="A6" s="5"/>
      <c r="B6" s="5"/>
      <c r="C6" s="8"/>
      <c r="D6" s="5"/>
      <c r="E6" s="5"/>
      <c r="F6" s="5"/>
      <c r="G6" s="8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33.75" customHeight="1">
      <c r="A7" s="25" t="s">
        <v>19</v>
      </c>
      <c r="B7" s="25" t="s">
        <v>43</v>
      </c>
      <c r="C7" s="25" t="s">
        <v>44</v>
      </c>
      <c r="D7" s="25" t="s">
        <v>45</v>
      </c>
      <c r="E7" s="25" t="s">
        <v>39</v>
      </c>
      <c r="F7" s="25" t="s">
        <v>21</v>
      </c>
      <c r="G7" s="25" t="s">
        <v>61</v>
      </c>
      <c r="H7" s="25" t="s">
        <v>46</v>
      </c>
      <c r="I7" s="25" t="s">
        <v>47</v>
      </c>
      <c r="J7" s="25" t="s">
        <v>50</v>
      </c>
      <c r="K7" s="25" t="s">
        <v>52</v>
      </c>
      <c r="L7" s="25" t="s">
        <v>53</v>
      </c>
      <c r="M7" s="25" t="s">
        <v>70</v>
      </c>
      <c r="N7" s="25" t="s">
        <v>71</v>
      </c>
      <c r="O7" s="25" t="s">
        <v>137</v>
      </c>
      <c r="P7" s="25" t="s">
        <v>140</v>
      </c>
      <c r="Q7" s="25" t="s">
        <v>79</v>
      </c>
      <c r="R7" s="25" t="s">
        <v>85</v>
      </c>
      <c r="S7" s="25" t="s">
        <v>88</v>
      </c>
      <c r="T7" s="25" t="s">
        <v>92</v>
      </c>
      <c r="U7" s="25" t="s">
        <v>95</v>
      </c>
      <c r="V7" s="25" t="s">
        <v>37</v>
      </c>
      <c r="W7" s="25" t="s">
        <v>148</v>
      </c>
    </row>
    <row r="8" ht="19.5" customHeight="1">
      <c r="A8" s="52">
        <v>1.0</v>
      </c>
      <c r="B8" s="55" t="s">
        <v>151</v>
      </c>
      <c r="C8" s="55" t="s">
        <v>152</v>
      </c>
      <c r="D8" s="56" t="s">
        <v>153</v>
      </c>
      <c r="E8" s="61" t="s">
        <v>171</v>
      </c>
      <c r="F8" s="64" t="s">
        <v>51</v>
      </c>
      <c r="G8" s="65" t="s">
        <v>178</v>
      </c>
      <c r="H8" s="55" t="s">
        <v>182</v>
      </c>
      <c r="I8" s="66" t="s">
        <v>183</v>
      </c>
      <c r="J8" s="66" t="s">
        <v>189</v>
      </c>
      <c r="K8" s="56" t="s">
        <v>190</v>
      </c>
      <c r="L8" s="56" t="s">
        <v>192</v>
      </c>
      <c r="M8" s="72">
        <v>42393.45</v>
      </c>
      <c r="N8" s="74">
        <v>12.0</v>
      </c>
      <c r="O8" s="79">
        <f t="shared" ref="O8:O107" si="3">IFERROR(M8*N8,0)</f>
        <v>508721.4</v>
      </c>
      <c r="P8" s="82">
        <f t="shared" ref="P8:P107" si="4">IFERROR(ROUNDDOWN(Q8/M8,0),0)</f>
        <v>12</v>
      </c>
      <c r="Q8" s="72">
        <v>508721.4</v>
      </c>
      <c r="R8" s="79">
        <f t="shared" ref="R8:R107" si="5">IFERROR(O8-Q8,0)</f>
        <v>0</v>
      </c>
      <c r="S8" s="84">
        <f t="shared" ref="S8:S107" si="6">IFERROR(Q8/O8,0)</f>
        <v>1</v>
      </c>
      <c r="T8" s="72">
        <v>19.3</v>
      </c>
      <c r="U8" s="79">
        <f t="shared" ref="U8:U107" si="7">IFERROR(R8-T8,0)</f>
        <v>-19.3</v>
      </c>
      <c r="V8" s="55" t="s">
        <v>220</v>
      </c>
      <c r="W8" s="88" t="str">
        <f t="shared" ref="W8:W107" si="8">IF($E8="","",IF(COUNTIF($E$8:$E$107,$E8)&gt;1,"DUPLICADO","OK"))</f>
        <v>OK</v>
      </c>
    </row>
    <row r="9" ht="19.5" customHeight="1">
      <c r="A9" s="52">
        <v>2.0</v>
      </c>
      <c r="B9" s="55" t="s">
        <v>229</v>
      </c>
      <c r="C9" s="55" t="s">
        <v>230</v>
      </c>
      <c r="D9" s="56" t="s">
        <v>232</v>
      </c>
      <c r="E9" s="61" t="s">
        <v>235</v>
      </c>
      <c r="F9" s="64" t="s">
        <v>237</v>
      </c>
      <c r="G9" s="65" t="s">
        <v>239</v>
      </c>
      <c r="H9" s="55" t="s">
        <v>240</v>
      </c>
      <c r="I9" s="66" t="s">
        <v>183</v>
      </c>
      <c r="J9" s="66" t="s">
        <v>189</v>
      </c>
      <c r="K9" s="56" t="s">
        <v>242</v>
      </c>
      <c r="L9" s="56" t="s">
        <v>244</v>
      </c>
      <c r="M9" s="72">
        <v>4117.0</v>
      </c>
      <c r="N9" s="74">
        <v>12.0</v>
      </c>
      <c r="O9" s="79">
        <f t="shared" si="3"/>
        <v>49404</v>
      </c>
      <c r="P9" s="82">
        <f t="shared" si="4"/>
        <v>12</v>
      </c>
      <c r="Q9" s="72">
        <v>49721.0</v>
      </c>
      <c r="R9" s="79">
        <f t="shared" si="5"/>
        <v>-317</v>
      </c>
      <c r="S9" s="84">
        <f t="shared" si="6"/>
        <v>1.006416484</v>
      </c>
      <c r="T9" s="72">
        <v>1959.02</v>
      </c>
      <c r="U9" s="79">
        <f t="shared" si="7"/>
        <v>-2276.02</v>
      </c>
      <c r="V9" s="55" t="s">
        <v>255</v>
      </c>
      <c r="W9" s="88" t="str">
        <f t="shared" si="8"/>
        <v>OK</v>
      </c>
    </row>
    <row r="10" ht="19.5" customHeight="1">
      <c r="A10" s="52">
        <v>3.0</v>
      </c>
      <c r="B10" s="55" t="s">
        <v>269</v>
      </c>
      <c r="C10" s="55" t="s">
        <v>270</v>
      </c>
      <c r="D10" s="56" t="s">
        <v>271</v>
      </c>
      <c r="E10" s="61" t="s">
        <v>274</v>
      </c>
      <c r="F10" s="64" t="s">
        <v>237</v>
      </c>
      <c r="G10" s="65" t="s">
        <v>239</v>
      </c>
      <c r="H10" s="55" t="s">
        <v>278</v>
      </c>
      <c r="I10" s="66" t="s">
        <v>183</v>
      </c>
      <c r="J10" s="66" t="s">
        <v>189</v>
      </c>
      <c r="K10" s="56" t="s">
        <v>283</v>
      </c>
      <c r="L10" s="56" t="s">
        <v>285</v>
      </c>
      <c r="M10" s="72">
        <v>1095.11</v>
      </c>
      <c r="N10" s="74">
        <v>12.0</v>
      </c>
      <c r="O10" s="79">
        <f t="shared" si="3"/>
        <v>13141.32</v>
      </c>
      <c r="P10" s="82">
        <f t="shared" si="4"/>
        <v>12</v>
      </c>
      <c r="Q10" s="72">
        <v>13443.69</v>
      </c>
      <c r="R10" s="79">
        <f t="shared" si="5"/>
        <v>-302.37</v>
      </c>
      <c r="S10" s="84">
        <f t="shared" si="6"/>
        <v>1.023009104</v>
      </c>
      <c r="T10" s="72" t="s">
        <v>294</v>
      </c>
      <c r="U10" s="79">
        <f t="shared" si="7"/>
        <v>0</v>
      </c>
      <c r="V10" s="55" t="s">
        <v>297</v>
      </c>
      <c r="W10" s="88" t="str">
        <f t="shared" si="8"/>
        <v>OK</v>
      </c>
    </row>
    <row r="11" ht="19.5" customHeight="1">
      <c r="A11" s="52">
        <v>4.0</v>
      </c>
      <c r="B11" s="55" t="s">
        <v>302</v>
      </c>
      <c r="C11" s="55" t="s">
        <v>304</v>
      </c>
      <c r="D11" s="56" t="s">
        <v>305</v>
      </c>
      <c r="E11" s="61" t="s">
        <v>308</v>
      </c>
      <c r="F11" s="64" t="s">
        <v>290</v>
      </c>
      <c r="G11" s="100"/>
      <c r="H11" s="55" t="s">
        <v>311</v>
      </c>
      <c r="I11" s="66" t="s">
        <v>183</v>
      </c>
      <c r="J11" s="66" t="s">
        <v>315</v>
      </c>
      <c r="K11" s="101">
        <v>45234.0</v>
      </c>
      <c r="L11" s="101">
        <v>46664.0</v>
      </c>
      <c r="M11" s="72">
        <v>2526.25</v>
      </c>
      <c r="N11" s="74">
        <v>12.0</v>
      </c>
      <c r="O11" s="79">
        <f t="shared" si="3"/>
        <v>30315</v>
      </c>
      <c r="P11" s="82">
        <f t="shared" si="4"/>
        <v>12</v>
      </c>
      <c r="Q11" s="72">
        <v>31365.67</v>
      </c>
      <c r="R11" s="79">
        <f t="shared" si="5"/>
        <v>-1050.67</v>
      </c>
      <c r="S11" s="84">
        <f t="shared" si="6"/>
        <v>1.03465842</v>
      </c>
      <c r="T11" s="72" t="s">
        <v>294</v>
      </c>
      <c r="U11" s="79">
        <f t="shared" si="7"/>
        <v>0</v>
      </c>
      <c r="V11" s="55" t="s">
        <v>320</v>
      </c>
      <c r="W11" s="88" t="str">
        <f t="shared" si="8"/>
        <v>OK</v>
      </c>
    </row>
    <row r="12" ht="19.5" customHeight="1">
      <c r="A12" s="52">
        <v>5.0</v>
      </c>
      <c r="B12" s="55" t="s">
        <v>323</v>
      </c>
      <c r="C12" s="55" t="s">
        <v>325</v>
      </c>
      <c r="D12" s="56" t="s">
        <v>326</v>
      </c>
      <c r="E12" s="61" t="s">
        <v>328</v>
      </c>
      <c r="F12" s="64" t="s">
        <v>237</v>
      </c>
      <c r="G12" s="65" t="s">
        <v>239</v>
      </c>
      <c r="H12" s="55" t="s">
        <v>332</v>
      </c>
      <c r="I12" s="66" t="s">
        <v>183</v>
      </c>
      <c r="J12" s="66" t="s">
        <v>189</v>
      </c>
      <c r="K12" s="56" t="s">
        <v>335</v>
      </c>
      <c r="L12" s="56" t="s">
        <v>337</v>
      </c>
      <c r="M12" s="72">
        <v>13000.0</v>
      </c>
      <c r="N12" s="74">
        <v>12.0</v>
      </c>
      <c r="O12" s="79">
        <f t="shared" si="3"/>
        <v>156000</v>
      </c>
      <c r="P12" s="82">
        <f t="shared" si="4"/>
        <v>12</v>
      </c>
      <c r="Q12" s="72">
        <v>156000.0</v>
      </c>
      <c r="R12" s="79">
        <f t="shared" si="5"/>
        <v>0</v>
      </c>
      <c r="S12" s="84">
        <f t="shared" si="6"/>
        <v>1</v>
      </c>
      <c r="T12" s="72">
        <v>3484.0</v>
      </c>
      <c r="U12" s="79">
        <f t="shared" si="7"/>
        <v>-3484</v>
      </c>
      <c r="V12" s="55" t="s">
        <v>346</v>
      </c>
      <c r="W12" s="88" t="str">
        <f t="shared" si="8"/>
        <v>OK</v>
      </c>
    </row>
    <row r="13" ht="19.5" customHeight="1">
      <c r="A13" s="52">
        <v>6.0</v>
      </c>
      <c r="B13" s="55" t="s">
        <v>348</v>
      </c>
      <c r="C13" s="55" t="s">
        <v>349</v>
      </c>
      <c r="D13" s="56" t="s">
        <v>350</v>
      </c>
      <c r="E13" s="61" t="s">
        <v>352</v>
      </c>
      <c r="F13" s="64" t="s">
        <v>237</v>
      </c>
      <c r="G13" s="65" t="s">
        <v>239</v>
      </c>
      <c r="H13" s="55" t="s">
        <v>353</v>
      </c>
      <c r="I13" s="66" t="s">
        <v>183</v>
      </c>
      <c r="J13" s="66" t="s">
        <v>189</v>
      </c>
      <c r="K13" s="56" t="s">
        <v>355</v>
      </c>
      <c r="L13" s="56" t="s">
        <v>356</v>
      </c>
      <c r="M13" s="72">
        <v>1200.0</v>
      </c>
      <c r="N13" s="74">
        <v>4.0</v>
      </c>
      <c r="O13" s="79">
        <f t="shared" si="3"/>
        <v>4800</v>
      </c>
      <c r="P13" s="82">
        <f t="shared" si="4"/>
        <v>9</v>
      </c>
      <c r="Q13" s="72">
        <v>11440.0</v>
      </c>
      <c r="R13" s="79">
        <f t="shared" si="5"/>
        <v>-6640</v>
      </c>
      <c r="S13" s="84">
        <f t="shared" si="6"/>
        <v>2.383333333</v>
      </c>
      <c r="T13" s="72" t="s">
        <v>294</v>
      </c>
      <c r="U13" s="79">
        <f t="shared" si="7"/>
        <v>0</v>
      </c>
      <c r="V13" s="55" t="s">
        <v>360</v>
      </c>
      <c r="W13" s="88" t="str">
        <f t="shared" si="8"/>
        <v>OK</v>
      </c>
    </row>
    <row r="14" ht="19.5" customHeight="1">
      <c r="A14" s="52">
        <v>7.0</v>
      </c>
      <c r="B14" s="55" t="s">
        <v>361</v>
      </c>
      <c r="C14" s="55" t="s">
        <v>362</v>
      </c>
      <c r="D14" s="56" t="s">
        <v>363</v>
      </c>
      <c r="E14" s="61" t="s">
        <v>364</v>
      </c>
      <c r="F14" s="64" t="s">
        <v>51</v>
      </c>
      <c r="G14" s="65" t="s">
        <v>178</v>
      </c>
      <c r="H14" s="55" t="s">
        <v>365</v>
      </c>
      <c r="I14" s="66" t="s">
        <v>183</v>
      </c>
      <c r="J14" s="66" t="s">
        <v>189</v>
      </c>
      <c r="K14" s="101">
        <v>45728.0</v>
      </c>
      <c r="L14" s="101">
        <v>46065.0</v>
      </c>
      <c r="M14" s="72">
        <v>26220.0</v>
      </c>
      <c r="N14" s="74">
        <v>12.0</v>
      </c>
      <c r="O14" s="79">
        <f t="shared" si="3"/>
        <v>314640</v>
      </c>
      <c r="P14" s="82">
        <f t="shared" si="4"/>
        <v>12</v>
      </c>
      <c r="Q14" s="72">
        <v>314640.0</v>
      </c>
      <c r="R14" s="79">
        <f t="shared" si="5"/>
        <v>0</v>
      </c>
      <c r="S14" s="84">
        <f t="shared" si="6"/>
        <v>1</v>
      </c>
      <c r="T14" s="72" t="s">
        <v>294</v>
      </c>
      <c r="U14" s="79">
        <f t="shared" si="7"/>
        <v>0</v>
      </c>
      <c r="V14" s="55" t="s">
        <v>367</v>
      </c>
      <c r="W14" s="88" t="str">
        <f t="shared" si="8"/>
        <v>OK</v>
      </c>
    </row>
    <row r="15" ht="19.5" customHeight="1">
      <c r="A15" s="52">
        <v>8.0</v>
      </c>
      <c r="B15" s="106"/>
      <c r="C15" s="55" t="s">
        <v>368</v>
      </c>
      <c r="D15" s="88"/>
      <c r="E15" s="121"/>
      <c r="F15" s="110"/>
      <c r="G15" s="122"/>
      <c r="H15" s="55" t="s">
        <v>353</v>
      </c>
      <c r="I15" s="107"/>
      <c r="J15" s="107"/>
      <c r="K15" s="123"/>
      <c r="L15" s="123"/>
      <c r="M15" s="124">
        <v>3000.0</v>
      </c>
      <c r="N15" s="125">
        <v>8.0</v>
      </c>
      <c r="O15" s="79">
        <f t="shared" si="3"/>
        <v>24000</v>
      </c>
      <c r="P15" s="82">
        <f t="shared" si="4"/>
        <v>0</v>
      </c>
      <c r="Q15" s="109"/>
      <c r="R15" s="79">
        <f t="shared" si="5"/>
        <v>24000</v>
      </c>
      <c r="S15" s="84">
        <f t="shared" si="6"/>
        <v>0</v>
      </c>
      <c r="T15" s="109"/>
      <c r="U15" s="79">
        <f t="shared" si="7"/>
        <v>24000</v>
      </c>
      <c r="V15" s="55" t="s">
        <v>369</v>
      </c>
      <c r="W15" s="88" t="str">
        <f t="shared" si="8"/>
        <v/>
      </c>
    </row>
    <row r="16" ht="19.5" customHeight="1">
      <c r="A16" s="52">
        <v>9.0</v>
      </c>
      <c r="B16" s="106"/>
      <c r="C16" s="126"/>
      <c r="D16" s="88"/>
      <c r="E16" s="121"/>
      <c r="F16" s="110"/>
      <c r="G16" s="122"/>
      <c r="H16" s="41"/>
      <c r="I16" s="107"/>
      <c r="J16" s="107"/>
      <c r="K16" s="123"/>
      <c r="L16" s="123"/>
      <c r="M16" s="109"/>
      <c r="N16" s="108"/>
      <c r="O16" s="79">
        <f t="shared" si="3"/>
        <v>0</v>
      </c>
      <c r="P16" s="82">
        <f t="shared" si="4"/>
        <v>0</v>
      </c>
      <c r="Q16" s="109"/>
      <c r="R16" s="79">
        <f t="shared" si="5"/>
        <v>0</v>
      </c>
      <c r="S16" s="84">
        <f t="shared" si="6"/>
        <v>0</v>
      </c>
      <c r="T16" s="109"/>
      <c r="U16" s="79">
        <f t="shared" si="7"/>
        <v>0</v>
      </c>
      <c r="V16" s="106"/>
      <c r="W16" s="88" t="str">
        <f t="shared" si="8"/>
        <v/>
      </c>
    </row>
    <row r="17" ht="19.5" customHeight="1">
      <c r="A17" s="52">
        <v>10.0</v>
      </c>
      <c r="B17" s="106"/>
      <c r="C17" s="126"/>
      <c r="D17" s="88"/>
      <c r="E17" s="121"/>
      <c r="F17" s="110"/>
      <c r="G17" s="122"/>
      <c r="H17" s="126"/>
      <c r="I17" s="107"/>
      <c r="J17" s="107"/>
      <c r="K17" s="123"/>
      <c r="L17" s="123"/>
      <c r="M17" s="109"/>
      <c r="N17" s="108"/>
      <c r="O17" s="79">
        <f t="shared" si="3"/>
        <v>0</v>
      </c>
      <c r="P17" s="82">
        <f t="shared" si="4"/>
        <v>0</v>
      </c>
      <c r="Q17" s="109"/>
      <c r="R17" s="79">
        <f t="shared" si="5"/>
        <v>0</v>
      </c>
      <c r="S17" s="84">
        <f t="shared" si="6"/>
        <v>0</v>
      </c>
      <c r="T17" s="109"/>
      <c r="U17" s="79">
        <f t="shared" si="7"/>
        <v>0</v>
      </c>
      <c r="V17" s="106"/>
      <c r="W17" s="88" t="str">
        <f t="shared" si="8"/>
        <v/>
      </c>
    </row>
    <row r="18" ht="19.5" customHeight="1">
      <c r="A18" s="52">
        <v>11.0</v>
      </c>
      <c r="B18" s="106"/>
      <c r="C18" s="126"/>
      <c r="D18" s="88"/>
      <c r="E18" s="121"/>
      <c r="F18" s="110"/>
      <c r="G18" s="122"/>
      <c r="H18" s="126"/>
      <c r="I18" s="107"/>
      <c r="J18" s="107"/>
      <c r="K18" s="123"/>
      <c r="L18" s="123"/>
      <c r="M18" s="109"/>
      <c r="N18" s="108"/>
      <c r="O18" s="79">
        <f t="shared" si="3"/>
        <v>0</v>
      </c>
      <c r="P18" s="82">
        <f t="shared" si="4"/>
        <v>0</v>
      </c>
      <c r="Q18" s="109"/>
      <c r="R18" s="79">
        <f t="shared" si="5"/>
        <v>0</v>
      </c>
      <c r="S18" s="84">
        <f t="shared" si="6"/>
        <v>0</v>
      </c>
      <c r="T18" s="109"/>
      <c r="U18" s="79">
        <f t="shared" si="7"/>
        <v>0</v>
      </c>
      <c r="V18" s="106"/>
      <c r="W18" s="88" t="str">
        <f t="shared" si="8"/>
        <v/>
      </c>
    </row>
    <row r="19" ht="19.5" customHeight="1">
      <c r="A19" s="52">
        <v>12.0</v>
      </c>
      <c r="B19" s="106"/>
      <c r="C19" s="126"/>
      <c r="D19" s="88"/>
      <c r="E19" s="121"/>
      <c r="F19" s="110"/>
      <c r="G19" s="122"/>
      <c r="H19" s="126"/>
      <c r="I19" s="107"/>
      <c r="J19" s="107"/>
      <c r="K19" s="123"/>
      <c r="L19" s="123"/>
      <c r="M19" s="109"/>
      <c r="N19" s="108"/>
      <c r="O19" s="79">
        <f t="shared" si="3"/>
        <v>0</v>
      </c>
      <c r="P19" s="82">
        <f t="shared" si="4"/>
        <v>0</v>
      </c>
      <c r="Q19" s="109"/>
      <c r="R19" s="79">
        <f t="shared" si="5"/>
        <v>0</v>
      </c>
      <c r="S19" s="84">
        <f t="shared" si="6"/>
        <v>0</v>
      </c>
      <c r="T19" s="109"/>
      <c r="U19" s="79">
        <f t="shared" si="7"/>
        <v>0</v>
      </c>
      <c r="V19" s="106"/>
      <c r="W19" s="88" t="str">
        <f t="shared" si="8"/>
        <v/>
      </c>
    </row>
    <row r="20" ht="19.5" customHeight="1">
      <c r="A20" s="52">
        <v>13.0</v>
      </c>
      <c r="B20" s="106"/>
      <c r="C20" s="126"/>
      <c r="D20" s="88"/>
      <c r="E20" s="121"/>
      <c r="F20" s="110"/>
      <c r="G20" s="122"/>
      <c r="H20" s="126"/>
      <c r="I20" s="107"/>
      <c r="J20" s="107"/>
      <c r="K20" s="123"/>
      <c r="L20" s="123"/>
      <c r="M20" s="109"/>
      <c r="N20" s="108"/>
      <c r="O20" s="79">
        <f t="shared" si="3"/>
        <v>0</v>
      </c>
      <c r="P20" s="82">
        <f t="shared" si="4"/>
        <v>0</v>
      </c>
      <c r="Q20" s="109"/>
      <c r="R20" s="79">
        <f t="shared" si="5"/>
        <v>0</v>
      </c>
      <c r="S20" s="84">
        <f t="shared" si="6"/>
        <v>0</v>
      </c>
      <c r="T20" s="109"/>
      <c r="U20" s="79">
        <f t="shared" si="7"/>
        <v>0</v>
      </c>
      <c r="V20" s="106"/>
      <c r="W20" s="88" t="str">
        <f t="shared" si="8"/>
        <v/>
      </c>
    </row>
    <row r="21" ht="19.5" customHeight="1">
      <c r="A21" s="52">
        <v>14.0</v>
      </c>
      <c r="B21" s="106"/>
      <c r="C21" s="126"/>
      <c r="D21" s="88"/>
      <c r="E21" s="121"/>
      <c r="F21" s="110"/>
      <c r="G21" s="122"/>
      <c r="H21" s="126"/>
      <c r="I21" s="107"/>
      <c r="J21" s="107"/>
      <c r="K21" s="123"/>
      <c r="L21" s="123"/>
      <c r="M21" s="109"/>
      <c r="N21" s="108"/>
      <c r="O21" s="79">
        <f t="shared" si="3"/>
        <v>0</v>
      </c>
      <c r="P21" s="82">
        <f t="shared" si="4"/>
        <v>0</v>
      </c>
      <c r="Q21" s="109"/>
      <c r="R21" s="79">
        <f t="shared" si="5"/>
        <v>0</v>
      </c>
      <c r="S21" s="84">
        <f t="shared" si="6"/>
        <v>0</v>
      </c>
      <c r="T21" s="109"/>
      <c r="U21" s="79">
        <f t="shared" si="7"/>
        <v>0</v>
      </c>
      <c r="V21" s="106"/>
      <c r="W21" s="88" t="str">
        <f t="shared" si="8"/>
        <v/>
      </c>
    </row>
    <row r="22" ht="19.5" customHeight="1">
      <c r="A22" s="52">
        <v>15.0</v>
      </c>
      <c r="B22" s="106"/>
      <c r="C22" s="126"/>
      <c r="D22" s="88"/>
      <c r="E22" s="121"/>
      <c r="F22" s="110"/>
      <c r="G22" s="122"/>
      <c r="H22" s="126"/>
      <c r="I22" s="107"/>
      <c r="J22" s="107"/>
      <c r="K22" s="123"/>
      <c r="L22" s="123"/>
      <c r="M22" s="109"/>
      <c r="N22" s="108"/>
      <c r="O22" s="79">
        <f t="shared" si="3"/>
        <v>0</v>
      </c>
      <c r="P22" s="82">
        <f t="shared" si="4"/>
        <v>0</v>
      </c>
      <c r="Q22" s="109"/>
      <c r="R22" s="79">
        <f t="shared" si="5"/>
        <v>0</v>
      </c>
      <c r="S22" s="84">
        <f t="shared" si="6"/>
        <v>0</v>
      </c>
      <c r="T22" s="109"/>
      <c r="U22" s="79">
        <f t="shared" si="7"/>
        <v>0</v>
      </c>
      <c r="V22" s="106"/>
      <c r="W22" s="88" t="str">
        <f t="shared" si="8"/>
        <v/>
      </c>
    </row>
    <row r="23" ht="19.5" customHeight="1">
      <c r="A23" s="52">
        <v>16.0</v>
      </c>
      <c r="B23" s="106"/>
      <c r="C23" s="126"/>
      <c r="D23" s="88"/>
      <c r="E23" s="121"/>
      <c r="F23" s="110"/>
      <c r="G23" s="122"/>
      <c r="H23" s="126"/>
      <c r="I23" s="107"/>
      <c r="J23" s="107"/>
      <c r="K23" s="123"/>
      <c r="L23" s="123"/>
      <c r="M23" s="109"/>
      <c r="N23" s="108"/>
      <c r="O23" s="79">
        <f t="shared" si="3"/>
        <v>0</v>
      </c>
      <c r="P23" s="82">
        <f t="shared" si="4"/>
        <v>0</v>
      </c>
      <c r="Q23" s="109"/>
      <c r="R23" s="79">
        <f t="shared" si="5"/>
        <v>0</v>
      </c>
      <c r="S23" s="84">
        <f t="shared" si="6"/>
        <v>0</v>
      </c>
      <c r="T23" s="109"/>
      <c r="U23" s="79">
        <f t="shared" si="7"/>
        <v>0</v>
      </c>
      <c r="V23" s="106"/>
      <c r="W23" s="88" t="str">
        <f t="shared" si="8"/>
        <v/>
      </c>
    </row>
    <row r="24" ht="19.5" customHeight="1">
      <c r="A24" s="52">
        <v>17.0</v>
      </c>
      <c r="B24" s="106"/>
      <c r="C24" s="126"/>
      <c r="D24" s="88"/>
      <c r="E24" s="121"/>
      <c r="F24" s="110"/>
      <c r="G24" s="122"/>
      <c r="H24" s="126"/>
      <c r="I24" s="107"/>
      <c r="J24" s="107"/>
      <c r="K24" s="123"/>
      <c r="L24" s="123"/>
      <c r="M24" s="109"/>
      <c r="N24" s="108"/>
      <c r="O24" s="79">
        <f t="shared" si="3"/>
        <v>0</v>
      </c>
      <c r="P24" s="82">
        <f t="shared" si="4"/>
        <v>0</v>
      </c>
      <c r="Q24" s="109"/>
      <c r="R24" s="79">
        <f t="shared" si="5"/>
        <v>0</v>
      </c>
      <c r="S24" s="84">
        <f t="shared" si="6"/>
        <v>0</v>
      </c>
      <c r="T24" s="109"/>
      <c r="U24" s="79">
        <f t="shared" si="7"/>
        <v>0</v>
      </c>
      <c r="V24" s="106"/>
      <c r="W24" s="88" t="str">
        <f t="shared" si="8"/>
        <v/>
      </c>
    </row>
    <row r="25" ht="19.5" customHeight="1">
      <c r="A25" s="52">
        <v>18.0</v>
      </c>
      <c r="B25" s="106"/>
      <c r="C25" s="126"/>
      <c r="D25" s="88"/>
      <c r="E25" s="121"/>
      <c r="F25" s="110"/>
      <c r="G25" s="122"/>
      <c r="H25" s="126"/>
      <c r="I25" s="107"/>
      <c r="J25" s="107"/>
      <c r="K25" s="123"/>
      <c r="L25" s="123"/>
      <c r="M25" s="109"/>
      <c r="N25" s="108"/>
      <c r="O25" s="79">
        <f t="shared" si="3"/>
        <v>0</v>
      </c>
      <c r="P25" s="82">
        <f t="shared" si="4"/>
        <v>0</v>
      </c>
      <c r="Q25" s="109"/>
      <c r="R25" s="79">
        <f t="shared" si="5"/>
        <v>0</v>
      </c>
      <c r="S25" s="84">
        <f t="shared" si="6"/>
        <v>0</v>
      </c>
      <c r="T25" s="109"/>
      <c r="U25" s="79">
        <f t="shared" si="7"/>
        <v>0</v>
      </c>
      <c r="V25" s="106"/>
      <c r="W25" s="88" t="str">
        <f t="shared" si="8"/>
        <v/>
      </c>
    </row>
    <row r="26" ht="19.5" customHeight="1">
      <c r="A26" s="52">
        <v>19.0</v>
      </c>
      <c r="B26" s="106"/>
      <c r="C26" s="126"/>
      <c r="D26" s="88"/>
      <c r="E26" s="121"/>
      <c r="F26" s="110"/>
      <c r="G26" s="122"/>
      <c r="H26" s="126"/>
      <c r="I26" s="107"/>
      <c r="J26" s="107"/>
      <c r="K26" s="123"/>
      <c r="L26" s="123"/>
      <c r="M26" s="109"/>
      <c r="N26" s="108"/>
      <c r="O26" s="79">
        <f t="shared" si="3"/>
        <v>0</v>
      </c>
      <c r="P26" s="82">
        <f t="shared" si="4"/>
        <v>0</v>
      </c>
      <c r="Q26" s="109"/>
      <c r="R26" s="79">
        <f t="shared" si="5"/>
        <v>0</v>
      </c>
      <c r="S26" s="84">
        <f t="shared" si="6"/>
        <v>0</v>
      </c>
      <c r="T26" s="109"/>
      <c r="U26" s="79">
        <f t="shared" si="7"/>
        <v>0</v>
      </c>
      <c r="V26" s="106"/>
      <c r="W26" s="88" t="str">
        <f t="shared" si="8"/>
        <v/>
      </c>
    </row>
    <row r="27" ht="19.5" customHeight="1">
      <c r="A27" s="52">
        <v>20.0</v>
      </c>
      <c r="B27" s="106"/>
      <c r="C27" s="126"/>
      <c r="D27" s="88"/>
      <c r="E27" s="121"/>
      <c r="F27" s="110"/>
      <c r="G27" s="122"/>
      <c r="H27" s="126"/>
      <c r="I27" s="107"/>
      <c r="J27" s="107"/>
      <c r="K27" s="123"/>
      <c r="L27" s="123"/>
      <c r="M27" s="109"/>
      <c r="N27" s="108"/>
      <c r="O27" s="79">
        <f t="shared" si="3"/>
        <v>0</v>
      </c>
      <c r="P27" s="82">
        <f t="shared" si="4"/>
        <v>0</v>
      </c>
      <c r="Q27" s="109"/>
      <c r="R27" s="79">
        <f t="shared" si="5"/>
        <v>0</v>
      </c>
      <c r="S27" s="84">
        <f t="shared" si="6"/>
        <v>0</v>
      </c>
      <c r="T27" s="109"/>
      <c r="U27" s="79">
        <f t="shared" si="7"/>
        <v>0</v>
      </c>
      <c r="V27" s="106"/>
      <c r="W27" s="88" t="str">
        <f t="shared" si="8"/>
        <v/>
      </c>
    </row>
    <row r="28" ht="19.5" customHeight="1">
      <c r="A28" s="52">
        <v>21.0</v>
      </c>
      <c r="B28" s="106"/>
      <c r="C28" s="126"/>
      <c r="D28" s="88"/>
      <c r="E28" s="121"/>
      <c r="F28" s="110"/>
      <c r="G28" s="122"/>
      <c r="H28" s="126"/>
      <c r="I28" s="107"/>
      <c r="J28" s="107"/>
      <c r="K28" s="123"/>
      <c r="L28" s="123"/>
      <c r="M28" s="109"/>
      <c r="N28" s="108"/>
      <c r="O28" s="79">
        <f t="shared" si="3"/>
        <v>0</v>
      </c>
      <c r="P28" s="82">
        <f t="shared" si="4"/>
        <v>0</v>
      </c>
      <c r="Q28" s="109"/>
      <c r="R28" s="79">
        <f t="shared" si="5"/>
        <v>0</v>
      </c>
      <c r="S28" s="84">
        <f t="shared" si="6"/>
        <v>0</v>
      </c>
      <c r="T28" s="109"/>
      <c r="U28" s="79">
        <f t="shared" si="7"/>
        <v>0</v>
      </c>
      <c r="V28" s="106"/>
      <c r="W28" s="88" t="str">
        <f t="shared" si="8"/>
        <v/>
      </c>
    </row>
    <row r="29" ht="19.5" customHeight="1">
      <c r="A29" s="52">
        <v>22.0</v>
      </c>
      <c r="B29" s="106"/>
      <c r="C29" s="126"/>
      <c r="D29" s="88"/>
      <c r="E29" s="121"/>
      <c r="F29" s="110"/>
      <c r="G29" s="122"/>
      <c r="H29" s="126"/>
      <c r="I29" s="107"/>
      <c r="J29" s="107"/>
      <c r="K29" s="123"/>
      <c r="L29" s="123"/>
      <c r="M29" s="109"/>
      <c r="N29" s="108"/>
      <c r="O29" s="79">
        <f t="shared" si="3"/>
        <v>0</v>
      </c>
      <c r="P29" s="82">
        <f t="shared" si="4"/>
        <v>0</v>
      </c>
      <c r="Q29" s="109"/>
      <c r="R29" s="79">
        <f t="shared" si="5"/>
        <v>0</v>
      </c>
      <c r="S29" s="84">
        <f t="shared" si="6"/>
        <v>0</v>
      </c>
      <c r="T29" s="109"/>
      <c r="U29" s="79">
        <f t="shared" si="7"/>
        <v>0</v>
      </c>
      <c r="V29" s="106"/>
      <c r="W29" s="88" t="str">
        <f t="shared" si="8"/>
        <v/>
      </c>
    </row>
    <row r="30" ht="19.5" customHeight="1">
      <c r="A30" s="52">
        <v>23.0</v>
      </c>
      <c r="B30" s="106"/>
      <c r="C30" s="126"/>
      <c r="D30" s="88"/>
      <c r="E30" s="121"/>
      <c r="F30" s="110"/>
      <c r="G30" s="122"/>
      <c r="H30" s="126"/>
      <c r="I30" s="107"/>
      <c r="J30" s="107"/>
      <c r="K30" s="123"/>
      <c r="L30" s="123"/>
      <c r="M30" s="109"/>
      <c r="N30" s="108"/>
      <c r="O30" s="79">
        <f t="shared" si="3"/>
        <v>0</v>
      </c>
      <c r="P30" s="82">
        <f t="shared" si="4"/>
        <v>0</v>
      </c>
      <c r="Q30" s="109"/>
      <c r="R30" s="79">
        <f t="shared" si="5"/>
        <v>0</v>
      </c>
      <c r="S30" s="84">
        <f t="shared" si="6"/>
        <v>0</v>
      </c>
      <c r="T30" s="109"/>
      <c r="U30" s="79">
        <f t="shared" si="7"/>
        <v>0</v>
      </c>
      <c r="V30" s="106"/>
      <c r="W30" s="88" t="str">
        <f t="shared" si="8"/>
        <v/>
      </c>
    </row>
    <row r="31" ht="19.5" customHeight="1">
      <c r="A31" s="52">
        <v>24.0</v>
      </c>
      <c r="B31" s="106"/>
      <c r="C31" s="126"/>
      <c r="D31" s="88"/>
      <c r="E31" s="121"/>
      <c r="F31" s="110"/>
      <c r="G31" s="122"/>
      <c r="H31" s="126"/>
      <c r="I31" s="107"/>
      <c r="J31" s="107"/>
      <c r="K31" s="123"/>
      <c r="L31" s="123"/>
      <c r="M31" s="109"/>
      <c r="N31" s="108"/>
      <c r="O31" s="79">
        <f t="shared" si="3"/>
        <v>0</v>
      </c>
      <c r="P31" s="82">
        <f t="shared" si="4"/>
        <v>0</v>
      </c>
      <c r="Q31" s="109"/>
      <c r="R31" s="79">
        <f t="shared" si="5"/>
        <v>0</v>
      </c>
      <c r="S31" s="84">
        <f t="shared" si="6"/>
        <v>0</v>
      </c>
      <c r="T31" s="109"/>
      <c r="U31" s="79">
        <f t="shared" si="7"/>
        <v>0</v>
      </c>
      <c r="V31" s="106"/>
      <c r="W31" s="88" t="str">
        <f t="shared" si="8"/>
        <v/>
      </c>
    </row>
    <row r="32" ht="19.5" customHeight="1">
      <c r="A32" s="52">
        <v>25.0</v>
      </c>
      <c r="B32" s="106"/>
      <c r="C32" s="126"/>
      <c r="D32" s="88"/>
      <c r="E32" s="121"/>
      <c r="F32" s="110"/>
      <c r="G32" s="122"/>
      <c r="H32" s="126"/>
      <c r="I32" s="107"/>
      <c r="J32" s="107"/>
      <c r="K32" s="123"/>
      <c r="L32" s="123"/>
      <c r="M32" s="109"/>
      <c r="N32" s="108"/>
      <c r="O32" s="79">
        <f t="shared" si="3"/>
        <v>0</v>
      </c>
      <c r="P32" s="82">
        <f t="shared" si="4"/>
        <v>0</v>
      </c>
      <c r="Q32" s="109"/>
      <c r="R32" s="79">
        <f t="shared" si="5"/>
        <v>0</v>
      </c>
      <c r="S32" s="84">
        <f t="shared" si="6"/>
        <v>0</v>
      </c>
      <c r="T32" s="109"/>
      <c r="U32" s="79">
        <f t="shared" si="7"/>
        <v>0</v>
      </c>
      <c r="V32" s="106"/>
      <c r="W32" s="88" t="str">
        <f t="shared" si="8"/>
        <v/>
      </c>
    </row>
    <row r="33" ht="19.5" customHeight="1">
      <c r="A33" s="52">
        <v>26.0</v>
      </c>
      <c r="B33" s="106"/>
      <c r="C33" s="126"/>
      <c r="D33" s="88"/>
      <c r="E33" s="121"/>
      <c r="F33" s="110"/>
      <c r="G33" s="122"/>
      <c r="H33" s="126"/>
      <c r="I33" s="107"/>
      <c r="J33" s="107"/>
      <c r="K33" s="123"/>
      <c r="L33" s="123"/>
      <c r="M33" s="109"/>
      <c r="N33" s="108"/>
      <c r="O33" s="79">
        <f t="shared" si="3"/>
        <v>0</v>
      </c>
      <c r="P33" s="82">
        <f t="shared" si="4"/>
        <v>0</v>
      </c>
      <c r="Q33" s="109"/>
      <c r="R33" s="79">
        <f t="shared" si="5"/>
        <v>0</v>
      </c>
      <c r="S33" s="84">
        <f t="shared" si="6"/>
        <v>0</v>
      </c>
      <c r="T33" s="109"/>
      <c r="U33" s="79">
        <f t="shared" si="7"/>
        <v>0</v>
      </c>
      <c r="V33" s="106"/>
      <c r="W33" s="88" t="str">
        <f t="shared" si="8"/>
        <v/>
      </c>
    </row>
    <row r="34" ht="19.5" customHeight="1">
      <c r="A34" s="52">
        <v>27.0</v>
      </c>
      <c r="B34" s="106"/>
      <c r="C34" s="126"/>
      <c r="D34" s="88"/>
      <c r="E34" s="121"/>
      <c r="F34" s="110"/>
      <c r="G34" s="122"/>
      <c r="H34" s="126"/>
      <c r="I34" s="107"/>
      <c r="J34" s="107"/>
      <c r="K34" s="123"/>
      <c r="L34" s="123"/>
      <c r="M34" s="109"/>
      <c r="N34" s="108"/>
      <c r="O34" s="79">
        <f t="shared" si="3"/>
        <v>0</v>
      </c>
      <c r="P34" s="82">
        <f t="shared" si="4"/>
        <v>0</v>
      </c>
      <c r="Q34" s="109"/>
      <c r="R34" s="79">
        <f t="shared" si="5"/>
        <v>0</v>
      </c>
      <c r="S34" s="84">
        <f t="shared" si="6"/>
        <v>0</v>
      </c>
      <c r="T34" s="109"/>
      <c r="U34" s="79">
        <f t="shared" si="7"/>
        <v>0</v>
      </c>
      <c r="V34" s="106"/>
      <c r="W34" s="88" t="str">
        <f t="shared" si="8"/>
        <v/>
      </c>
    </row>
    <row r="35" ht="19.5" customHeight="1">
      <c r="A35" s="52">
        <v>28.0</v>
      </c>
      <c r="B35" s="106"/>
      <c r="C35" s="126"/>
      <c r="D35" s="88"/>
      <c r="E35" s="121"/>
      <c r="F35" s="110"/>
      <c r="G35" s="122"/>
      <c r="H35" s="126"/>
      <c r="I35" s="107"/>
      <c r="J35" s="107"/>
      <c r="K35" s="123"/>
      <c r="L35" s="123"/>
      <c r="M35" s="109"/>
      <c r="N35" s="108"/>
      <c r="O35" s="79">
        <f t="shared" si="3"/>
        <v>0</v>
      </c>
      <c r="P35" s="82">
        <f t="shared" si="4"/>
        <v>0</v>
      </c>
      <c r="Q35" s="109"/>
      <c r="R35" s="79">
        <f t="shared" si="5"/>
        <v>0</v>
      </c>
      <c r="S35" s="84">
        <f t="shared" si="6"/>
        <v>0</v>
      </c>
      <c r="T35" s="109"/>
      <c r="U35" s="79">
        <f t="shared" si="7"/>
        <v>0</v>
      </c>
      <c r="V35" s="106"/>
      <c r="W35" s="88" t="str">
        <f t="shared" si="8"/>
        <v/>
      </c>
    </row>
    <row r="36" ht="19.5" customHeight="1">
      <c r="A36" s="52">
        <v>29.0</v>
      </c>
      <c r="B36" s="106"/>
      <c r="C36" s="126"/>
      <c r="D36" s="88"/>
      <c r="E36" s="121"/>
      <c r="F36" s="110"/>
      <c r="G36" s="122"/>
      <c r="H36" s="126"/>
      <c r="I36" s="107"/>
      <c r="J36" s="107"/>
      <c r="K36" s="123"/>
      <c r="L36" s="123"/>
      <c r="M36" s="109"/>
      <c r="N36" s="108"/>
      <c r="O36" s="79">
        <f t="shared" si="3"/>
        <v>0</v>
      </c>
      <c r="P36" s="82">
        <f t="shared" si="4"/>
        <v>0</v>
      </c>
      <c r="Q36" s="109"/>
      <c r="R36" s="79">
        <f t="shared" si="5"/>
        <v>0</v>
      </c>
      <c r="S36" s="84">
        <f t="shared" si="6"/>
        <v>0</v>
      </c>
      <c r="T36" s="109"/>
      <c r="U36" s="79">
        <f t="shared" si="7"/>
        <v>0</v>
      </c>
      <c r="V36" s="106"/>
      <c r="W36" s="88" t="str">
        <f t="shared" si="8"/>
        <v/>
      </c>
    </row>
    <row r="37" ht="19.5" customHeight="1">
      <c r="A37" s="52">
        <v>30.0</v>
      </c>
      <c r="B37" s="106"/>
      <c r="C37" s="126"/>
      <c r="D37" s="88"/>
      <c r="E37" s="121"/>
      <c r="F37" s="110"/>
      <c r="G37" s="122"/>
      <c r="H37" s="126"/>
      <c r="I37" s="107"/>
      <c r="J37" s="107"/>
      <c r="K37" s="123"/>
      <c r="L37" s="123"/>
      <c r="M37" s="109"/>
      <c r="N37" s="108"/>
      <c r="O37" s="79">
        <f t="shared" si="3"/>
        <v>0</v>
      </c>
      <c r="P37" s="82">
        <f t="shared" si="4"/>
        <v>0</v>
      </c>
      <c r="Q37" s="109"/>
      <c r="R37" s="79">
        <f t="shared" si="5"/>
        <v>0</v>
      </c>
      <c r="S37" s="84">
        <f t="shared" si="6"/>
        <v>0</v>
      </c>
      <c r="T37" s="109"/>
      <c r="U37" s="79">
        <f t="shared" si="7"/>
        <v>0</v>
      </c>
      <c r="V37" s="106"/>
      <c r="W37" s="88" t="str">
        <f t="shared" si="8"/>
        <v/>
      </c>
    </row>
    <row r="38" ht="19.5" customHeight="1">
      <c r="A38" s="52">
        <v>31.0</v>
      </c>
      <c r="B38" s="106"/>
      <c r="C38" s="126"/>
      <c r="D38" s="88"/>
      <c r="E38" s="121"/>
      <c r="F38" s="110"/>
      <c r="G38" s="122"/>
      <c r="H38" s="126"/>
      <c r="I38" s="107"/>
      <c r="J38" s="107"/>
      <c r="K38" s="123"/>
      <c r="L38" s="123"/>
      <c r="M38" s="109"/>
      <c r="N38" s="108"/>
      <c r="O38" s="79">
        <f t="shared" si="3"/>
        <v>0</v>
      </c>
      <c r="P38" s="82">
        <f t="shared" si="4"/>
        <v>0</v>
      </c>
      <c r="Q38" s="109"/>
      <c r="R38" s="79">
        <f t="shared" si="5"/>
        <v>0</v>
      </c>
      <c r="S38" s="84">
        <f t="shared" si="6"/>
        <v>0</v>
      </c>
      <c r="T38" s="109"/>
      <c r="U38" s="79">
        <f t="shared" si="7"/>
        <v>0</v>
      </c>
      <c r="V38" s="106"/>
      <c r="W38" s="88" t="str">
        <f t="shared" si="8"/>
        <v/>
      </c>
    </row>
    <row r="39" ht="19.5" customHeight="1">
      <c r="A39" s="52">
        <v>32.0</v>
      </c>
      <c r="B39" s="106"/>
      <c r="C39" s="126"/>
      <c r="D39" s="88"/>
      <c r="E39" s="121"/>
      <c r="F39" s="110"/>
      <c r="G39" s="122"/>
      <c r="H39" s="126"/>
      <c r="I39" s="107"/>
      <c r="J39" s="107"/>
      <c r="K39" s="123"/>
      <c r="L39" s="123"/>
      <c r="M39" s="109"/>
      <c r="N39" s="108"/>
      <c r="O39" s="79">
        <f t="shared" si="3"/>
        <v>0</v>
      </c>
      <c r="P39" s="82">
        <f t="shared" si="4"/>
        <v>0</v>
      </c>
      <c r="Q39" s="109"/>
      <c r="R39" s="79">
        <f t="shared" si="5"/>
        <v>0</v>
      </c>
      <c r="S39" s="84">
        <f t="shared" si="6"/>
        <v>0</v>
      </c>
      <c r="T39" s="109"/>
      <c r="U39" s="79">
        <f t="shared" si="7"/>
        <v>0</v>
      </c>
      <c r="V39" s="106"/>
      <c r="W39" s="88" t="str">
        <f t="shared" si="8"/>
        <v/>
      </c>
    </row>
    <row r="40" ht="19.5" customHeight="1">
      <c r="A40" s="52">
        <v>33.0</v>
      </c>
      <c r="B40" s="106"/>
      <c r="C40" s="126"/>
      <c r="D40" s="88"/>
      <c r="E40" s="121"/>
      <c r="F40" s="110"/>
      <c r="G40" s="122"/>
      <c r="H40" s="126"/>
      <c r="I40" s="107"/>
      <c r="J40" s="107"/>
      <c r="K40" s="123"/>
      <c r="L40" s="123"/>
      <c r="M40" s="109"/>
      <c r="N40" s="108"/>
      <c r="O40" s="79">
        <f t="shared" si="3"/>
        <v>0</v>
      </c>
      <c r="P40" s="82">
        <f t="shared" si="4"/>
        <v>0</v>
      </c>
      <c r="Q40" s="109"/>
      <c r="R40" s="79">
        <f t="shared" si="5"/>
        <v>0</v>
      </c>
      <c r="S40" s="84">
        <f t="shared" si="6"/>
        <v>0</v>
      </c>
      <c r="T40" s="109"/>
      <c r="U40" s="79">
        <f t="shared" si="7"/>
        <v>0</v>
      </c>
      <c r="V40" s="106"/>
      <c r="W40" s="88" t="str">
        <f t="shared" si="8"/>
        <v/>
      </c>
    </row>
    <row r="41" ht="19.5" customHeight="1">
      <c r="A41" s="52">
        <v>34.0</v>
      </c>
      <c r="B41" s="106"/>
      <c r="C41" s="126"/>
      <c r="D41" s="88"/>
      <c r="E41" s="121"/>
      <c r="F41" s="110"/>
      <c r="G41" s="122"/>
      <c r="H41" s="126"/>
      <c r="I41" s="107"/>
      <c r="J41" s="107"/>
      <c r="K41" s="123"/>
      <c r="L41" s="123"/>
      <c r="M41" s="109"/>
      <c r="N41" s="108"/>
      <c r="O41" s="79">
        <f t="shared" si="3"/>
        <v>0</v>
      </c>
      <c r="P41" s="82">
        <f t="shared" si="4"/>
        <v>0</v>
      </c>
      <c r="Q41" s="109"/>
      <c r="R41" s="79">
        <f t="shared" si="5"/>
        <v>0</v>
      </c>
      <c r="S41" s="84">
        <f t="shared" si="6"/>
        <v>0</v>
      </c>
      <c r="T41" s="109"/>
      <c r="U41" s="79">
        <f t="shared" si="7"/>
        <v>0</v>
      </c>
      <c r="V41" s="106"/>
      <c r="W41" s="88" t="str">
        <f t="shared" si="8"/>
        <v/>
      </c>
    </row>
    <row r="42" ht="19.5" customHeight="1">
      <c r="A42" s="52">
        <v>35.0</v>
      </c>
      <c r="B42" s="106"/>
      <c r="C42" s="126"/>
      <c r="D42" s="88"/>
      <c r="E42" s="121"/>
      <c r="F42" s="110"/>
      <c r="G42" s="122"/>
      <c r="H42" s="126"/>
      <c r="I42" s="107"/>
      <c r="J42" s="107"/>
      <c r="K42" s="123"/>
      <c r="L42" s="123"/>
      <c r="M42" s="109"/>
      <c r="N42" s="108"/>
      <c r="O42" s="79">
        <f t="shared" si="3"/>
        <v>0</v>
      </c>
      <c r="P42" s="82">
        <f t="shared" si="4"/>
        <v>0</v>
      </c>
      <c r="Q42" s="109"/>
      <c r="R42" s="79">
        <f t="shared" si="5"/>
        <v>0</v>
      </c>
      <c r="S42" s="84">
        <f t="shared" si="6"/>
        <v>0</v>
      </c>
      <c r="T42" s="109"/>
      <c r="U42" s="79">
        <f t="shared" si="7"/>
        <v>0</v>
      </c>
      <c r="V42" s="106"/>
      <c r="W42" s="88" t="str">
        <f t="shared" si="8"/>
        <v/>
      </c>
    </row>
    <row r="43" ht="19.5" customHeight="1">
      <c r="A43" s="52">
        <v>36.0</v>
      </c>
      <c r="B43" s="106"/>
      <c r="C43" s="126"/>
      <c r="D43" s="88"/>
      <c r="E43" s="121"/>
      <c r="F43" s="110"/>
      <c r="G43" s="122"/>
      <c r="H43" s="126"/>
      <c r="I43" s="107"/>
      <c r="J43" s="107"/>
      <c r="K43" s="123"/>
      <c r="L43" s="123"/>
      <c r="M43" s="109"/>
      <c r="N43" s="108"/>
      <c r="O43" s="79">
        <f t="shared" si="3"/>
        <v>0</v>
      </c>
      <c r="P43" s="82">
        <f t="shared" si="4"/>
        <v>0</v>
      </c>
      <c r="Q43" s="109"/>
      <c r="R43" s="79">
        <f t="shared" si="5"/>
        <v>0</v>
      </c>
      <c r="S43" s="84">
        <f t="shared" si="6"/>
        <v>0</v>
      </c>
      <c r="T43" s="109"/>
      <c r="U43" s="79">
        <f t="shared" si="7"/>
        <v>0</v>
      </c>
      <c r="V43" s="106"/>
      <c r="W43" s="88" t="str">
        <f t="shared" si="8"/>
        <v/>
      </c>
    </row>
    <row r="44" ht="19.5" customHeight="1">
      <c r="A44" s="52">
        <v>37.0</v>
      </c>
      <c r="B44" s="106"/>
      <c r="C44" s="126"/>
      <c r="D44" s="88"/>
      <c r="E44" s="121"/>
      <c r="F44" s="110"/>
      <c r="G44" s="122"/>
      <c r="H44" s="126"/>
      <c r="I44" s="107"/>
      <c r="J44" s="107"/>
      <c r="K44" s="123"/>
      <c r="L44" s="123"/>
      <c r="M44" s="109"/>
      <c r="N44" s="108"/>
      <c r="O44" s="79">
        <f t="shared" si="3"/>
        <v>0</v>
      </c>
      <c r="P44" s="82">
        <f t="shared" si="4"/>
        <v>0</v>
      </c>
      <c r="Q44" s="109"/>
      <c r="R44" s="79">
        <f t="shared" si="5"/>
        <v>0</v>
      </c>
      <c r="S44" s="84">
        <f t="shared" si="6"/>
        <v>0</v>
      </c>
      <c r="T44" s="109"/>
      <c r="U44" s="79">
        <f t="shared" si="7"/>
        <v>0</v>
      </c>
      <c r="V44" s="106"/>
      <c r="W44" s="88" t="str">
        <f t="shared" si="8"/>
        <v/>
      </c>
    </row>
    <row r="45" ht="19.5" customHeight="1">
      <c r="A45" s="52">
        <v>38.0</v>
      </c>
      <c r="B45" s="106"/>
      <c r="C45" s="126"/>
      <c r="D45" s="88"/>
      <c r="E45" s="121"/>
      <c r="F45" s="110"/>
      <c r="G45" s="122"/>
      <c r="H45" s="126"/>
      <c r="I45" s="107"/>
      <c r="J45" s="107"/>
      <c r="K45" s="123"/>
      <c r="L45" s="123"/>
      <c r="M45" s="109"/>
      <c r="N45" s="108"/>
      <c r="O45" s="79">
        <f t="shared" si="3"/>
        <v>0</v>
      </c>
      <c r="P45" s="82">
        <f t="shared" si="4"/>
        <v>0</v>
      </c>
      <c r="Q45" s="109"/>
      <c r="R45" s="79">
        <f t="shared" si="5"/>
        <v>0</v>
      </c>
      <c r="S45" s="84">
        <f t="shared" si="6"/>
        <v>0</v>
      </c>
      <c r="T45" s="109"/>
      <c r="U45" s="79">
        <f t="shared" si="7"/>
        <v>0</v>
      </c>
      <c r="V45" s="106"/>
      <c r="W45" s="88" t="str">
        <f t="shared" si="8"/>
        <v/>
      </c>
    </row>
    <row r="46" ht="19.5" customHeight="1">
      <c r="A46" s="52">
        <v>39.0</v>
      </c>
      <c r="B46" s="106"/>
      <c r="C46" s="126"/>
      <c r="D46" s="88"/>
      <c r="E46" s="121"/>
      <c r="F46" s="110"/>
      <c r="G46" s="122"/>
      <c r="H46" s="126"/>
      <c r="I46" s="107"/>
      <c r="J46" s="107"/>
      <c r="K46" s="123"/>
      <c r="L46" s="123"/>
      <c r="M46" s="109"/>
      <c r="N46" s="108"/>
      <c r="O46" s="79">
        <f t="shared" si="3"/>
        <v>0</v>
      </c>
      <c r="P46" s="82">
        <f t="shared" si="4"/>
        <v>0</v>
      </c>
      <c r="Q46" s="109"/>
      <c r="R46" s="79">
        <f t="shared" si="5"/>
        <v>0</v>
      </c>
      <c r="S46" s="84">
        <f t="shared" si="6"/>
        <v>0</v>
      </c>
      <c r="T46" s="109"/>
      <c r="U46" s="79">
        <f t="shared" si="7"/>
        <v>0</v>
      </c>
      <c r="V46" s="106"/>
      <c r="W46" s="88" t="str">
        <f t="shared" si="8"/>
        <v/>
      </c>
    </row>
    <row r="47" ht="19.5" customHeight="1">
      <c r="A47" s="52">
        <v>40.0</v>
      </c>
      <c r="B47" s="106"/>
      <c r="C47" s="126"/>
      <c r="D47" s="88"/>
      <c r="E47" s="121"/>
      <c r="F47" s="110"/>
      <c r="G47" s="122"/>
      <c r="H47" s="126"/>
      <c r="I47" s="107"/>
      <c r="J47" s="107"/>
      <c r="K47" s="123"/>
      <c r="L47" s="123"/>
      <c r="M47" s="109"/>
      <c r="N47" s="108"/>
      <c r="O47" s="79">
        <f t="shared" si="3"/>
        <v>0</v>
      </c>
      <c r="P47" s="82">
        <f t="shared" si="4"/>
        <v>0</v>
      </c>
      <c r="Q47" s="109"/>
      <c r="R47" s="79">
        <f t="shared" si="5"/>
        <v>0</v>
      </c>
      <c r="S47" s="84">
        <f t="shared" si="6"/>
        <v>0</v>
      </c>
      <c r="T47" s="109"/>
      <c r="U47" s="79">
        <f t="shared" si="7"/>
        <v>0</v>
      </c>
      <c r="V47" s="106"/>
      <c r="W47" s="88" t="str">
        <f t="shared" si="8"/>
        <v/>
      </c>
    </row>
    <row r="48" ht="19.5" customHeight="1">
      <c r="A48" s="52">
        <v>41.0</v>
      </c>
      <c r="B48" s="106"/>
      <c r="C48" s="126"/>
      <c r="D48" s="88"/>
      <c r="E48" s="121"/>
      <c r="F48" s="110"/>
      <c r="G48" s="122"/>
      <c r="H48" s="126"/>
      <c r="I48" s="107"/>
      <c r="J48" s="107"/>
      <c r="K48" s="123"/>
      <c r="L48" s="123"/>
      <c r="M48" s="109"/>
      <c r="N48" s="108"/>
      <c r="O48" s="79">
        <f t="shared" si="3"/>
        <v>0</v>
      </c>
      <c r="P48" s="82">
        <f t="shared" si="4"/>
        <v>0</v>
      </c>
      <c r="Q48" s="109"/>
      <c r="R48" s="79">
        <f t="shared" si="5"/>
        <v>0</v>
      </c>
      <c r="S48" s="84">
        <f t="shared" si="6"/>
        <v>0</v>
      </c>
      <c r="T48" s="109"/>
      <c r="U48" s="79">
        <f t="shared" si="7"/>
        <v>0</v>
      </c>
      <c r="V48" s="106"/>
      <c r="W48" s="88" t="str">
        <f t="shared" si="8"/>
        <v/>
      </c>
    </row>
    <row r="49" ht="19.5" customHeight="1">
      <c r="A49" s="52">
        <v>42.0</v>
      </c>
      <c r="B49" s="106"/>
      <c r="C49" s="126"/>
      <c r="D49" s="88"/>
      <c r="E49" s="121"/>
      <c r="F49" s="110"/>
      <c r="G49" s="122"/>
      <c r="H49" s="126"/>
      <c r="I49" s="107"/>
      <c r="J49" s="107"/>
      <c r="K49" s="123"/>
      <c r="L49" s="123"/>
      <c r="M49" s="109"/>
      <c r="N49" s="108"/>
      <c r="O49" s="79">
        <f t="shared" si="3"/>
        <v>0</v>
      </c>
      <c r="P49" s="82">
        <f t="shared" si="4"/>
        <v>0</v>
      </c>
      <c r="Q49" s="109"/>
      <c r="R49" s="79">
        <f t="shared" si="5"/>
        <v>0</v>
      </c>
      <c r="S49" s="84">
        <f t="shared" si="6"/>
        <v>0</v>
      </c>
      <c r="T49" s="109"/>
      <c r="U49" s="79">
        <f t="shared" si="7"/>
        <v>0</v>
      </c>
      <c r="V49" s="106"/>
      <c r="W49" s="88" t="str">
        <f t="shared" si="8"/>
        <v/>
      </c>
    </row>
    <row r="50" ht="19.5" customHeight="1">
      <c r="A50" s="52">
        <v>43.0</v>
      </c>
      <c r="B50" s="106"/>
      <c r="C50" s="126"/>
      <c r="D50" s="88"/>
      <c r="E50" s="121"/>
      <c r="F50" s="110"/>
      <c r="G50" s="122"/>
      <c r="H50" s="126"/>
      <c r="I50" s="107"/>
      <c r="J50" s="107"/>
      <c r="K50" s="123"/>
      <c r="L50" s="123"/>
      <c r="M50" s="109"/>
      <c r="N50" s="108"/>
      <c r="O50" s="79">
        <f t="shared" si="3"/>
        <v>0</v>
      </c>
      <c r="P50" s="82">
        <f t="shared" si="4"/>
        <v>0</v>
      </c>
      <c r="Q50" s="109"/>
      <c r="R50" s="79">
        <f t="shared" si="5"/>
        <v>0</v>
      </c>
      <c r="S50" s="84">
        <f t="shared" si="6"/>
        <v>0</v>
      </c>
      <c r="T50" s="109"/>
      <c r="U50" s="79">
        <f t="shared" si="7"/>
        <v>0</v>
      </c>
      <c r="V50" s="106"/>
      <c r="W50" s="88" t="str">
        <f t="shared" si="8"/>
        <v/>
      </c>
    </row>
    <row r="51" ht="19.5" customHeight="1">
      <c r="A51" s="52">
        <v>44.0</v>
      </c>
      <c r="B51" s="106"/>
      <c r="C51" s="126"/>
      <c r="D51" s="88"/>
      <c r="E51" s="121"/>
      <c r="F51" s="110"/>
      <c r="G51" s="122"/>
      <c r="H51" s="126"/>
      <c r="I51" s="107"/>
      <c r="J51" s="107"/>
      <c r="K51" s="123"/>
      <c r="L51" s="123"/>
      <c r="M51" s="109"/>
      <c r="N51" s="108"/>
      <c r="O51" s="79">
        <f t="shared" si="3"/>
        <v>0</v>
      </c>
      <c r="P51" s="82">
        <f t="shared" si="4"/>
        <v>0</v>
      </c>
      <c r="Q51" s="109"/>
      <c r="R51" s="79">
        <f t="shared" si="5"/>
        <v>0</v>
      </c>
      <c r="S51" s="84">
        <f t="shared" si="6"/>
        <v>0</v>
      </c>
      <c r="T51" s="109"/>
      <c r="U51" s="79">
        <f t="shared" si="7"/>
        <v>0</v>
      </c>
      <c r="V51" s="106"/>
      <c r="W51" s="88" t="str">
        <f t="shared" si="8"/>
        <v/>
      </c>
    </row>
    <row r="52" ht="19.5" customHeight="1">
      <c r="A52" s="52">
        <v>45.0</v>
      </c>
      <c r="B52" s="106"/>
      <c r="C52" s="126"/>
      <c r="D52" s="88"/>
      <c r="E52" s="121"/>
      <c r="F52" s="110"/>
      <c r="G52" s="122"/>
      <c r="H52" s="126"/>
      <c r="I52" s="107"/>
      <c r="J52" s="107"/>
      <c r="K52" s="123"/>
      <c r="L52" s="123"/>
      <c r="M52" s="109"/>
      <c r="N52" s="108"/>
      <c r="O52" s="79">
        <f t="shared" si="3"/>
        <v>0</v>
      </c>
      <c r="P52" s="82">
        <f t="shared" si="4"/>
        <v>0</v>
      </c>
      <c r="Q52" s="109"/>
      <c r="R52" s="79">
        <f t="shared" si="5"/>
        <v>0</v>
      </c>
      <c r="S52" s="84">
        <f t="shared" si="6"/>
        <v>0</v>
      </c>
      <c r="T52" s="109"/>
      <c r="U52" s="79">
        <f t="shared" si="7"/>
        <v>0</v>
      </c>
      <c r="V52" s="106"/>
      <c r="W52" s="88" t="str">
        <f t="shared" si="8"/>
        <v/>
      </c>
    </row>
    <row r="53" ht="19.5" customHeight="1">
      <c r="A53" s="52">
        <v>46.0</v>
      </c>
      <c r="B53" s="106"/>
      <c r="C53" s="126"/>
      <c r="D53" s="88"/>
      <c r="E53" s="121"/>
      <c r="F53" s="110"/>
      <c r="G53" s="122"/>
      <c r="H53" s="126"/>
      <c r="I53" s="107"/>
      <c r="J53" s="107"/>
      <c r="K53" s="123"/>
      <c r="L53" s="123"/>
      <c r="M53" s="109"/>
      <c r="N53" s="108"/>
      <c r="O53" s="79">
        <f t="shared" si="3"/>
        <v>0</v>
      </c>
      <c r="P53" s="82">
        <f t="shared" si="4"/>
        <v>0</v>
      </c>
      <c r="Q53" s="109"/>
      <c r="R53" s="79">
        <f t="shared" si="5"/>
        <v>0</v>
      </c>
      <c r="S53" s="84">
        <f t="shared" si="6"/>
        <v>0</v>
      </c>
      <c r="T53" s="109"/>
      <c r="U53" s="79">
        <f t="shared" si="7"/>
        <v>0</v>
      </c>
      <c r="V53" s="106"/>
      <c r="W53" s="88" t="str">
        <f t="shared" si="8"/>
        <v/>
      </c>
    </row>
    <row r="54" ht="19.5" customHeight="1">
      <c r="A54" s="52">
        <v>47.0</v>
      </c>
      <c r="B54" s="106"/>
      <c r="C54" s="126"/>
      <c r="D54" s="88"/>
      <c r="E54" s="121"/>
      <c r="F54" s="110"/>
      <c r="G54" s="122"/>
      <c r="H54" s="126"/>
      <c r="I54" s="107"/>
      <c r="J54" s="107"/>
      <c r="K54" s="123"/>
      <c r="L54" s="123"/>
      <c r="M54" s="109"/>
      <c r="N54" s="108"/>
      <c r="O54" s="79">
        <f t="shared" si="3"/>
        <v>0</v>
      </c>
      <c r="P54" s="82">
        <f t="shared" si="4"/>
        <v>0</v>
      </c>
      <c r="Q54" s="109"/>
      <c r="R54" s="79">
        <f t="shared" si="5"/>
        <v>0</v>
      </c>
      <c r="S54" s="84">
        <f t="shared" si="6"/>
        <v>0</v>
      </c>
      <c r="T54" s="109"/>
      <c r="U54" s="79">
        <f t="shared" si="7"/>
        <v>0</v>
      </c>
      <c r="V54" s="106"/>
      <c r="W54" s="88" t="str">
        <f t="shared" si="8"/>
        <v/>
      </c>
    </row>
    <row r="55" ht="19.5" customHeight="1">
      <c r="A55" s="52">
        <v>48.0</v>
      </c>
      <c r="B55" s="106"/>
      <c r="C55" s="126"/>
      <c r="D55" s="88"/>
      <c r="E55" s="121"/>
      <c r="F55" s="110"/>
      <c r="G55" s="122"/>
      <c r="H55" s="126"/>
      <c r="I55" s="107"/>
      <c r="J55" s="107"/>
      <c r="K55" s="123"/>
      <c r="L55" s="123"/>
      <c r="M55" s="109"/>
      <c r="N55" s="108"/>
      <c r="O55" s="79">
        <f t="shared" si="3"/>
        <v>0</v>
      </c>
      <c r="P55" s="82">
        <f t="shared" si="4"/>
        <v>0</v>
      </c>
      <c r="Q55" s="109"/>
      <c r="R55" s="79">
        <f t="shared" si="5"/>
        <v>0</v>
      </c>
      <c r="S55" s="84">
        <f t="shared" si="6"/>
        <v>0</v>
      </c>
      <c r="T55" s="109"/>
      <c r="U55" s="79">
        <f t="shared" si="7"/>
        <v>0</v>
      </c>
      <c r="V55" s="106"/>
      <c r="W55" s="88" t="str">
        <f t="shared" si="8"/>
        <v/>
      </c>
    </row>
    <row r="56" ht="19.5" customHeight="1">
      <c r="A56" s="52">
        <v>49.0</v>
      </c>
      <c r="B56" s="106"/>
      <c r="C56" s="126"/>
      <c r="D56" s="88"/>
      <c r="E56" s="121"/>
      <c r="F56" s="110"/>
      <c r="G56" s="122"/>
      <c r="H56" s="126"/>
      <c r="I56" s="107"/>
      <c r="J56" s="107"/>
      <c r="K56" s="123"/>
      <c r="L56" s="123"/>
      <c r="M56" s="109"/>
      <c r="N56" s="108"/>
      <c r="O56" s="79">
        <f t="shared" si="3"/>
        <v>0</v>
      </c>
      <c r="P56" s="82">
        <f t="shared" si="4"/>
        <v>0</v>
      </c>
      <c r="Q56" s="109"/>
      <c r="R56" s="79">
        <f t="shared" si="5"/>
        <v>0</v>
      </c>
      <c r="S56" s="84">
        <f t="shared" si="6"/>
        <v>0</v>
      </c>
      <c r="T56" s="109"/>
      <c r="U56" s="79">
        <f t="shared" si="7"/>
        <v>0</v>
      </c>
      <c r="V56" s="106"/>
      <c r="W56" s="88" t="str">
        <f t="shared" si="8"/>
        <v/>
      </c>
    </row>
    <row r="57" ht="19.5" customHeight="1">
      <c r="A57" s="52">
        <v>50.0</v>
      </c>
      <c r="B57" s="106"/>
      <c r="C57" s="126"/>
      <c r="D57" s="88"/>
      <c r="E57" s="121"/>
      <c r="F57" s="110"/>
      <c r="G57" s="122"/>
      <c r="H57" s="126"/>
      <c r="I57" s="107"/>
      <c r="J57" s="107"/>
      <c r="K57" s="123"/>
      <c r="L57" s="123"/>
      <c r="M57" s="109"/>
      <c r="N57" s="108"/>
      <c r="O57" s="79">
        <f t="shared" si="3"/>
        <v>0</v>
      </c>
      <c r="P57" s="82">
        <f t="shared" si="4"/>
        <v>0</v>
      </c>
      <c r="Q57" s="109"/>
      <c r="R57" s="79">
        <f t="shared" si="5"/>
        <v>0</v>
      </c>
      <c r="S57" s="84">
        <f t="shared" si="6"/>
        <v>0</v>
      </c>
      <c r="T57" s="109"/>
      <c r="U57" s="79">
        <f t="shared" si="7"/>
        <v>0</v>
      </c>
      <c r="V57" s="106"/>
      <c r="W57" s="88" t="str">
        <f t="shared" si="8"/>
        <v/>
      </c>
    </row>
    <row r="58" ht="19.5" customHeight="1">
      <c r="A58" s="52">
        <v>51.0</v>
      </c>
      <c r="B58" s="106"/>
      <c r="C58" s="126"/>
      <c r="D58" s="88"/>
      <c r="E58" s="121"/>
      <c r="F58" s="110"/>
      <c r="G58" s="122"/>
      <c r="H58" s="126"/>
      <c r="I58" s="107"/>
      <c r="J58" s="107"/>
      <c r="K58" s="123"/>
      <c r="L58" s="123"/>
      <c r="M58" s="109"/>
      <c r="N58" s="108"/>
      <c r="O58" s="79">
        <f t="shared" si="3"/>
        <v>0</v>
      </c>
      <c r="P58" s="82">
        <f t="shared" si="4"/>
        <v>0</v>
      </c>
      <c r="Q58" s="109"/>
      <c r="R58" s="79">
        <f t="shared" si="5"/>
        <v>0</v>
      </c>
      <c r="S58" s="84">
        <f t="shared" si="6"/>
        <v>0</v>
      </c>
      <c r="T58" s="109"/>
      <c r="U58" s="79">
        <f t="shared" si="7"/>
        <v>0</v>
      </c>
      <c r="V58" s="106"/>
      <c r="W58" s="88" t="str">
        <f t="shared" si="8"/>
        <v/>
      </c>
    </row>
    <row r="59" ht="19.5" customHeight="1">
      <c r="A59" s="52">
        <v>52.0</v>
      </c>
      <c r="B59" s="106"/>
      <c r="C59" s="126"/>
      <c r="D59" s="88"/>
      <c r="E59" s="121"/>
      <c r="F59" s="110"/>
      <c r="G59" s="122"/>
      <c r="H59" s="126"/>
      <c r="I59" s="107"/>
      <c r="J59" s="107"/>
      <c r="K59" s="123"/>
      <c r="L59" s="123"/>
      <c r="M59" s="109"/>
      <c r="N59" s="108"/>
      <c r="O59" s="79">
        <f t="shared" si="3"/>
        <v>0</v>
      </c>
      <c r="P59" s="82">
        <f t="shared" si="4"/>
        <v>0</v>
      </c>
      <c r="Q59" s="109"/>
      <c r="R59" s="79">
        <f t="shared" si="5"/>
        <v>0</v>
      </c>
      <c r="S59" s="84">
        <f t="shared" si="6"/>
        <v>0</v>
      </c>
      <c r="T59" s="109"/>
      <c r="U59" s="79">
        <f t="shared" si="7"/>
        <v>0</v>
      </c>
      <c r="V59" s="106"/>
      <c r="W59" s="88" t="str">
        <f t="shared" si="8"/>
        <v/>
      </c>
    </row>
    <row r="60" ht="19.5" customHeight="1">
      <c r="A60" s="52">
        <v>53.0</v>
      </c>
      <c r="B60" s="106"/>
      <c r="C60" s="126"/>
      <c r="D60" s="88"/>
      <c r="E60" s="121"/>
      <c r="F60" s="110"/>
      <c r="G60" s="122"/>
      <c r="H60" s="126"/>
      <c r="I60" s="107"/>
      <c r="J60" s="107"/>
      <c r="K60" s="123"/>
      <c r="L60" s="123"/>
      <c r="M60" s="109"/>
      <c r="N60" s="108"/>
      <c r="O60" s="79">
        <f t="shared" si="3"/>
        <v>0</v>
      </c>
      <c r="P60" s="82">
        <f t="shared" si="4"/>
        <v>0</v>
      </c>
      <c r="Q60" s="109"/>
      <c r="R60" s="79">
        <f t="shared" si="5"/>
        <v>0</v>
      </c>
      <c r="S60" s="84">
        <f t="shared" si="6"/>
        <v>0</v>
      </c>
      <c r="T60" s="109"/>
      <c r="U60" s="79">
        <f t="shared" si="7"/>
        <v>0</v>
      </c>
      <c r="V60" s="106"/>
      <c r="W60" s="88" t="str">
        <f t="shared" si="8"/>
        <v/>
      </c>
    </row>
    <row r="61" ht="19.5" customHeight="1">
      <c r="A61" s="52">
        <v>54.0</v>
      </c>
      <c r="B61" s="106"/>
      <c r="C61" s="126"/>
      <c r="D61" s="88"/>
      <c r="E61" s="121"/>
      <c r="F61" s="110"/>
      <c r="G61" s="122"/>
      <c r="H61" s="126"/>
      <c r="I61" s="107"/>
      <c r="J61" s="107"/>
      <c r="K61" s="123"/>
      <c r="L61" s="123"/>
      <c r="M61" s="109"/>
      <c r="N61" s="108"/>
      <c r="O61" s="79">
        <f t="shared" si="3"/>
        <v>0</v>
      </c>
      <c r="P61" s="82">
        <f t="shared" si="4"/>
        <v>0</v>
      </c>
      <c r="Q61" s="109"/>
      <c r="R61" s="79">
        <f t="shared" si="5"/>
        <v>0</v>
      </c>
      <c r="S61" s="84">
        <f t="shared" si="6"/>
        <v>0</v>
      </c>
      <c r="T61" s="109"/>
      <c r="U61" s="79">
        <f t="shared" si="7"/>
        <v>0</v>
      </c>
      <c r="V61" s="106"/>
      <c r="W61" s="88" t="str">
        <f t="shared" si="8"/>
        <v/>
      </c>
    </row>
    <row r="62" ht="19.5" customHeight="1">
      <c r="A62" s="52">
        <v>55.0</v>
      </c>
      <c r="B62" s="106"/>
      <c r="C62" s="126"/>
      <c r="D62" s="88"/>
      <c r="E62" s="121"/>
      <c r="F62" s="110"/>
      <c r="G62" s="122"/>
      <c r="H62" s="126"/>
      <c r="I62" s="107"/>
      <c r="J62" s="107"/>
      <c r="K62" s="123"/>
      <c r="L62" s="123"/>
      <c r="M62" s="109"/>
      <c r="N62" s="108"/>
      <c r="O62" s="79">
        <f t="shared" si="3"/>
        <v>0</v>
      </c>
      <c r="P62" s="82">
        <f t="shared" si="4"/>
        <v>0</v>
      </c>
      <c r="Q62" s="109"/>
      <c r="R62" s="79">
        <f t="shared" si="5"/>
        <v>0</v>
      </c>
      <c r="S62" s="84">
        <f t="shared" si="6"/>
        <v>0</v>
      </c>
      <c r="T62" s="109"/>
      <c r="U62" s="79">
        <f t="shared" si="7"/>
        <v>0</v>
      </c>
      <c r="V62" s="106"/>
      <c r="W62" s="88" t="str">
        <f t="shared" si="8"/>
        <v/>
      </c>
    </row>
    <row r="63" ht="19.5" customHeight="1">
      <c r="A63" s="52">
        <v>56.0</v>
      </c>
      <c r="B63" s="106"/>
      <c r="C63" s="126"/>
      <c r="D63" s="88"/>
      <c r="E63" s="121"/>
      <c r="F63" s="110"/>
      <c r="G63" s="122"/>
      <c r="H63" s="126"/>
      <c r="I63" s="107"/>
      <c r="J63" s="107"/>
      <c r="K63" s="123"/>
      <c r="L63" s="123"/>
      <c r="M63" s="109"/>
      <c r="N63" s="108"/>
      <c r="O63" s="79">
        <f t="shared" si="3"/>
        <v>0</v>
      </c>
      <c r="P63" s="82">
        <f t="shared" si="4"/>
        <v>0</v>
      </c>
      <c r="Q63" s="109"/>
      <c r="R63" s="79">
        <f t="shared" si="5"/>
        <v>0</v>
      </c>
      <c r="S63" s="84">
        <f t="shared" si="6"/>
        <v>0</v>
      </c>
      <c r="T63" s="109"/>
      <c r="U63" s="79">
        <f t="shared" si="7"/>
        <v>0</v>
      </c>
      <c r="V63" s="106"/>
      <c r="W63" s="88" t="str">
        <f t="shared" si="8"/>
        <v/>
      </c>
    </row>
    <row r="64" ht="19.5" customHeight="1">
      <c r="A64" s="52">
        <v>57.0</v>
      </c>
      <c r="B64" s="106"/>
      <c r="C64" s="126"/>
      <c r="D64" s="88"/>
      <c r="E64" s="121"/>
      <c r="F64" s="110"/>
      <c r="G64" s="122"/>
      <c r="H64" s="126"/>
      <c r="I64" s="107"/>
      <c r="J64" s="107"/>
      <c r="K64" s="123"/>
      <c r="L64" s="123"/>
      <c r="M64" s="109"/>
      <c r="N64" s="108"/>
      <c r="O64" s="79">
        <f t="shared" si="3"/>
        <v>0</v>
      </c>
      <c r="P64" s="82">
        <f t="shared" si="4"/>
        <v>0</v>
      </c>
      <c r="Q64" s="109"/>
      <c r="R64" s="79">
        <f t="shared" si="5"/>
        <v>0</v>
      </c>
      <c r="S64" s="84">
        <f t="shared" si="6"/>
        <v>0</v>
      </c>
      <c r="T64" s="109"/>
      <c r="U64" s="79">
        <f t="shared" si="7"/>
        <v>0</v>
      </c>
      <c r="V64" s="106"/>
      <c r="W64" s="88" t="str">
        <f t="shared" si="8"/>
        <v/>
      </c>
    </row>
    <row r="65" ht="19.5" customHeight="1">
      <c r="A65" s="52">
        <v>58.0</v>
      </c>
      <c r="B65" s="106"/>
      <c r="C65" s="126"/>
      <c r="D65" s="88"/>
      <c r="E65" s="121"/>
      <c r="F65" s="110"/>
      <c r="G65" s="122"/>
      <c r="H65" s="126"/>
      <c r="I65" s="107"/>
      <c r="J65" s="107"/>
      <c r="K65" s="123"/>
      <c r="L65" s="123"/>
      <c r="M65" s="109"/>
      <c r="N65" s="108"/>
      <c r="O65" s="79">
        <f t="shared" si="3"/>
        <v>0</v>
      </c>
      <c r="P65" s="82">
        <f t="shared" si="4"/>
        <v>0</v>
      </c>
      <c r="Q65" s="109"/>
      <c r="R65" s="79">
        <f t="shared" si="5"/>
        <v>0</v>
      </c>
      <c r="S65" s="84">
        <f t="shared" si="6"/>
        <v>0</v>
      </c>
      <c r="T65" s="109"/>
      <c r="U65" s="79">
        <f t="shared" si="7"/>
        <v>0</v>
      </c>
      <c r="V65" s="106"/>
      <c r="W65" s="88" t="str">
        <f t="shared" si="8"/>
        <v/>
      </c>
    </row>
    <row r="66" ht="19.5" customHeight="1">
      <c r="A66" s="52">
        <v>59.0</v>
      </c>
      <c r="B66" s="106"/>
      <c r="C66" s="126"/>
      <c r="D66" s="88"/>
      <c r="E66" s="121"/>
      <c r="F66" s="110"/>
      <c r="G66" s="122"/>
      <c r="H66" s="126"/>
      <c r="I66" s="107"/>
      <c r="J66" s="107"/>
      <c r="K66" s="123"/>
      <c r="L66" s="123"/>
      <c r="M66" s="109"/>
      <c r="N66" s="108"/>
      <c r="O66" s="79">
        <f t="shared" si="3"/>
        <v>0</v>
      </c>
      <c r="P66" s="82">
        <f t="shared" si="4"/>
        <v>0</v>
      </c>
      <c r="Q66" s="109"/>
      <c r="R66" s="79">
        <f t="shared" si="5"/>
        <v>0</v>
      </c>
      <c r="S66" s="84">
        <f t="shared" si="6"/>
        <v>0</v>
      </c>
      <c r="T66" s="109"/>
      <c r="U66" s="79">
        <f t="shared" si="7"/>
        <v>0</v>
      </c>
      <c r="V66" s="106"/>
      <c r="W66" s="88" t="str">
        <f t="shared" si="8"/>
        <v/>
      </c>
    </row>
    <row r="67" ht="19.5" customHeight="1">
      <c r="A67" s="52">
        <v>60.0</v>
      </c>
      <c r="B67" s="106"/>
      <c r="C67" s="126"/>
      <c r="D67" s="88"/>
      <c r="E67" s="121"/>
      <c r="F67" s="110"/>
      <c r="G67" s="122"/>
      <c r="H67" s="126"/>
      <c r="I67" s="107"/>
      <c r="J67" s="107"/>
      <c r="K67" s="123"/>
      <c r="L67" s="123"/>
      <c r="M67" s="109"/>
      <c r="N67" s="108"/>
      <c r="O67" s="79">
        <f t="shared" si="3"/>
        <v>0</v>
      </c>
      <c r="P67" s="82">
        <f t="shared" si="4"/>
        <v>0</v>
      </c>
      <c r="Q67" s="109"/>
      <c r="R67" s="79">
        <f t="shared" si="5"/>
        <v>0</v>
      </c>
      <c r="S67" s="84">
        <f t="shared" si="6"/>
        <v>0</v>
      </c>
      <c r="T67" s="109"/>
      <c r="U67" s="79">
        <f t="shared" si="7"/>
        <v>0</v>
      </c>
      <c r="V67" s="106"/>
      <c r="W67" s="88" t="str">
        <f t="shared" si="8"/>
        <v/>
      </c>
    </row>
    <row r="68" ht="19.5" customHeight="1">
      <c r="A68" s="52">
        <v>61.0</v>
      </c>
      <c r="B68" s="106"/>
      <c r="C68" s="126"/>
      <c r="D68" s="88"/>
      <c r="E68" s="121"/>
      <c r="F68" s="110"/>
      <c r="G68" s="122"/>
      <c r="H68" s="126"/>
      <c r="I68" s="107"/>
      <c r="J68" s="107"/>
      <c r="K68" s="123"/>
      <c r="L68" s="123"/>
      <c r="M68" s="109"/>
      <c r="N68" s="108"/>
      <c r="O68" s="79">
        <f t="shared" si="3"/>
        <v>0</v>
      </c>
      <c r="P68" s="82">
        <f t="shared" si="4"/>
        <v>0</v>
      </c>
      <c r="Q68" s="109"/>
      <c r="R68" s="79">
        <f t="shared" si="5"/>
        <v>0</v>
      </c>
      <c r="S68" s="84">
        <f t="shared" si="6"/>
        <v>0</v>
      </c>
      <c r="T68" s="109"/>
      <c r="U68" s="79">
        <f t="shared" si="7"/>
        <v>0</v>
      </c>
      <c r="V68" s="106"/>
      <c r="W68" s="88" t="str">
        <f t="shared" si="8"/>
        <v/>
      </c>
    </row>
    <row r="69" ht="19.5" customHeight="1">
      <c r="A69" s="52">
        <v>62.0</v>
      </c>
      <c r="B69" s="106"/>
      <c r="C69" s="126"/>
      <c r="D69" s="88"/>
      <c r="E69" s="121"/>
      <c r="F69" s="110"/>
      <c r="G69" s="122"/>
      <c r="H69" s="126"/>
      <c r="I69" s="107"/>
      <c r="J69" s="107"/>
      <c r="K69" s="123"/>
      <c r="L69" s="123"/>
      <c r="M69" s="109"/>
      <c r="N69" s="108"/>
      <c r="O69" s="79">
        <f t="shared" si="3"/>
        <v>0</v>
      </c>
      <c r="P69" s="82">
        <f t="shared" si="4"/>
        <v>0</v>
      </c>
      <c r="Q69" s="109"/>
      <c r="R69" s="79">
        <f t="shared" si="5"/>
        <v>0</v>
      </c>
      <c r="S69" s="84">
        <f t="shared" si="6"/>
        <v>0</v>
      </c>
      <c r="T69" s="109"/>
      <c r="U69" s="79">
        <f t="shared" si="7"/>
        <v>0</v>
      </c>
      <c r="V69" s="106"/>
      <c r="W69" s="88" t="str">
        <f t="shared" si="8"/>
        <v/>
      </c>
    </row>
    <row r="70" ht="19.5" customHeight="1">
      <c r="A70" s="52">
        <v>63.0</v>
      </c>
      <c r="B70" s="106"/>
      <c r="C70" s="126"/>
      <c r="D70" s="88"/>
      <c r="E70" s="121"/>
      <c r="F70" s="110"/>
      <c r="G70" s="122"/>
      <c r="H70" s="126"/>
      <c r="I70" s="107"/>
      <c r="J70" s="107"/>
      <c r="K70" s="123"/>
      <c r="L70" s="123"/>
      <c r="M70" s="109"/>
      <c r="N70" s="108"/>
      <c r="O70" s="79">
        <f t="shared" si="3"/>
        <v>0</v>
      </c>
      <c r="P70" s="82">
        <f t="shared" si="4"/>
        <v>0</v>
      </c>
      <c r="Q70" s="109"/>
      <c r="R70" s="79">
        <f t="shared" si="5"/>
        <v>0</v>
      </c>
      <c r="S70" s="84">
        <f t="shared" si="6"/>
        <v>0</v>
      </c>
      <c r="T70" s="109"/>
      <c r="U70" s="79">
        <f t="shared" si="7"/>
        <v>0</v>
      </c>
      <c r="V70" s="106"/>
      <c r="W70" s="88" t="str">
        <f t="shared" si="8"/>
        <v/>
      </c>
    </row>
    <row r="71" ht="19.5" customHeight="1">
      <c r="A71" s="52">
        <v>64.0</v>
      </c>
      <c r="B71" s="106"/>
      <c r="C71" s="126"/>
      <c r="D71" s="88"/>
      <c r="E71" s="121"/>
      <c r="F71" s="110"/>
      <c r="G71" s="122"/>
      <c r="H71" s="126"/>
      <c r="I71" s="107"/>
      <c r="J71" s="107"/>
      <c r="K71" s="123"/>
      <c r="L71" s="123"/>
      <c r="M71" s="109"/>
      <c r="N71" s="108"/>
      <c r="O71" s="79">
        <f t="shared" si="3"/>
        <v>0</v>
      </c>
      <c r="P71" s="82">
        <f t="shared" si="4"/>
        <v>0</v>
      </c>
      <c r="Q71" s="109"/>
      <c r="R71" s="79">
        <f t="shared" si="5"/>
        <v>0</v>
      </c>
      <c r="S71" s="84">
        <f t="shared" si="6"/>
        <v>0</v>
      </c>
      <c r="T71" s="109"/>
      <c r="U71" s="79">
        <f t="shared" si="7"/>
        <v>0</v>
      </c>
      <c r="V71" s="106"/>
      <c r="W71" s="88" t="str">
        <f t="shared" si="8"/>
        <v/>
      </c>
    </row>
    <row r="72" ht="19.5" customHeight="1">
      <c r="A72" s="52">
        <v>65.0</v>
      </c>
      <c r="B72" s="106"/>
      <c r="C72" s="126"/>
      <c r="D72" s="88"/>
      <c r="E72" s="121"/>
      <c r="F72" s="110"/>
      <c r="G72" s="122"/>
      <c r="H72" s="126"/>
      <c r="I72" s="107"/>
      <c r="J72" s="107"/>
      <c r="K72" s="123"/>
      <c r="L72" s="123"/>
      <c r="M72" s="109"/>
      <c r="N72" s="108"/>
      <c r="O72" s="79">
        <f t="shared" si="3"/>
        <v>0</v>
      </c>
      <c r="P72" s="82">
        <f t="shared" si="4"/>
        <v>0</v>
      </c>
      <c r="Q72" s="109"/>
      <c r="R72" s="79">
        <f t="shared" si="5"/>
        <v>0</v>
      </c>
      <c r="S72" s="84">
        <f t="shared" si="6"/>
        <v>0</v>
      </c>
      <c r="T72" s="109"/>
      <c r="U72" s="79">
        <f t="shared" si="7"/>
        <v>0</v>
      </c>
      <c r="V72" s="106"/>
      <c r="W72" s="88" t="str">
        <f t="shared" si="8"/>
        <v/>
      </c>
    </row>
    <row r="73" ht="19.5" customHeight="1">
      <c r="A73" s="52">
        <v>66.0</v>
      </c>
      <c r="B73" s="106"/>
      <c r="C73" s="126"/>
      <c r="D73" s="88"/>
      <c r="E73" s="121"/>
      <c r="F73" s="110"/>
      <c r="G73" s="122"/>
      <c r="H73" s="126"/>
      <c r="I73" s="107"/>
      <c r="J73" s="107"/>
      <c r="K73" s="123"/>
      <c r="L73" s="123"/>
      <c r="M73" s="109"/>
      <c r="N73" s="108"/>
      <c r="O73" s="79">
        <f t="shared" si="3"/>
        <v>0</v>
      </c>
      <c r="P73" s="82">
        <f t="shared" si="4"/>
        <v>0</v>
      </c>
      <c r="Q73" s="109"/>
      <c r="R73" s="79">
        <f t="shared" si="5"/>
        <v>0</v>
      </c>
      <c r="S73" s="84">
        <f t="shared" si="6"/>
        <v>0</v>
      </c>
      <c r="T73" s="109"/>
      <c r="U73" s="79">
        <f t="shared" si="7"/>
        <v>0</v>
      </c>
      <c r="V73" s="106"/>
      <c r="W73" s="88" t="str">
        <f t="shared" si="8"/>
        <v/>
      </c>
    </row>
    <row r="74" ht="19.5" customHeight="1">
      <c r="A74" s="52">
        <v>67.0</v>
      </c>
      <c r="B74" s="106"/>
      <c r="C74" s="126"/>
      <c r="D74" s="88"/>
      <c r="E74" s="121"/>
      <c r="F74" s="110"/>
      <c r="G74" s="122"/>
      <c r="H74" s="126"/>
      <c r="I74" s="107"/>
      <c r="J74" s="107"/>
      <c r="K74" s="123"/>
      <c r="L74" s="123"/>
      <c r="M74" s="109"/>
      <c r="N74" s="108"/>
      <c r="O74" s="79">
        <f t="shared" si="3"/>
        <v>0</v>
      </c>
      <c r="P74" s="82">
        <f t="shared" si="4"/>
        <v>0</v>
      </c>
      <c r="Q74" s="109"/>
      <c r="R74" s="79">
        <f t="shared" si="5"/>
        <v>0</v>
      </c>
      <c r="S74" s="84">
        <f t="shared" si="6"/>
        <v>0</v>
      </c>
      <c r="T74" s="109"/>
      <c r="U74" s="79">
        <f t="shared" si="7"/>
        <v>0</v>
      </c>
      <c r="V74" s="106"/>
      <c r="W74" s="88" t="str">
        <f t="shared" si="8"/>
        <v/>
      </c>
    </row>
    <row r="75" ht="19.5" customHeight="1">
      <c r="A75" s="52">
        <v>68.0</v>
      </c>
      <c r="B75" s="106"/>
      <c r="C75" s="126"/>
      <c r="D75" s="88"/>
      <c r="E75" s="121"/>
      <c r="F75" s="110"/>
      <c r="G75" s="122"/>
      <c r="H75" s="126"/>
      <c r="I75" s="107"/>
      <c r="J75" s="107"/>
      <c r="K75" s="123"/>
      <c r="L75" s="123"/>
      <c r="M75" s="109"/>
      <c r="N75" s="108"/>
      <c r="O75" s="79">
        <f t="shared" si="3"/>
        <v>0</v>
      </c>
      <c r="P75" s="82">
        <f t="shared" si="4"/>
        <v>0</v>
      </c>
      <c r="Q75" s="109"/>
      <c r="R75" s="79">
        <f t="shared" si="5"/>
        <v>0</v>
      </c>
      <c r="S75" s="84">
        <f t="shared" si="6"/>
        <v>0</v>
      </c>
      <c r="T75" s="109"/>
      <c r="U75" s="79">
        <f t="shared" si="7"/>
        <v>0</v>
      </c>
      <c r="V75" s="106"/>
      <c r="W75" s="88" t="str">
        <f t="shared" si="8"/>
        <v/>
      </c>
    </row>
    <row r="76" ht="19.5" customHeight="1">
      <c r="A76" s="52">
        <v>69.0</v>
      </c>
      <c r="B76" s="106"/>
      <c r="C76" s="126"/>
      <c r="D76" s="88"/>
      <c r="E76" s="121"/>
      <c r="F76" s="110"/>
      <c r="G76" s="122"/>
      <c r="H76" s="126"/>
      <c r="I76" s="107"/>
      <c r="J76" s="107"/>
      <c r="K76" s="123"/>
      <c r="L76" s="123"/>
      <c r="M76" s="109"/>
      <c r="N76" s="108"/>
      <c r="O76" s="79">
        <f t="shared" si="3"/>
        <v>0</v>
      </c>
      <c r="P76" s="82">
        <f t="shared" si="4"/>
        <v>0</v>
      </c>
      <c r="Q76" s="109"/>
      <c r="R76" s="79">
        <f t="shared" si="5"/>
        <v>0</v>
      </c>
      <c r="S76" s="84">
        <f t="shared" si="6"/>
        <v>0</v>
      </c>
      <c r="T76" s="109"/>
      <c r="U76" s="79">
        <f t="shared" si="7"/>
        <v>0</v>
      </c>
      <c r="V76" s="106"/>
      <c r="W76" s="88" t="str">
        <f t="shared" si="8"/>
        <v/>
      </c>
    </row>
    <row r="77" ht="19.5" customHeight="1">
      <c r="A77" s="52">
        <v>70.0</v>
      </c>
      <c r="B77" s="106"/>
      <c r="C77" s="126"/>
      <c r="D77" s="88"/>
      <c r="E77" s="121"/>
      <c r="F77" s="110"/>
      <c r="G77" s="122"/>
      <c r="H77" s="126"/>
      <c r="I77" s="107"/>
      <c r="J77" s="107"/>
      <c r="K77" s="123"/>
      <c r="L77" s="123"/>
      <c r="M77" s="109"/>
      <c r="N77" s="108"/>
      <c r="O77" s="79">
        <f t="shared" si="3"/>
        <v>0</v>
      </c>
      <c r="P77" s="82">
        <f t="shared" si="4"/>
        <v>0</v>
      </c>
      <c r="Q77" s="109"/>
      <c r="R77" s="79">
        <f t="shared" si="5"/>
        <v>0</v>
      </c>
      <c r="S77" s="84">
        <f t="shared" si="6"/>
        <v>0</v>
      </c>
      <c r="T77" s="109"/>
      <c r="U77" s="79">
        <f t="shared" si="7"/>
        <v>0</v>
      </c>
      <c r="V77" s="106"/>
      <c r="W77" s="88" t="str">
        <f t="shared" si="8"/>
        <v/>
      </c>
    </row>
    <row r="78" ht="19.5" customHeight="1">
      <c r="A78" s="52">
        <v>71.0</v>
      </c>
      <c r="B78" s="106"/>
      <c r="C78" s="126"/>
      <c r="D78" s="88"/>
      <c r="E78" s="121"/>
      <c r="F78" s="110"/>
      <c r="G78" s="122"/>
      <c r="H78" s="126"/>
      <c r="I78" s="107"/>
      <c r="J78" s="107"/>
      <c r="K78" s="123"/>
      <c r="L78" s="123"/>
      <c r="M78" s="109"/>
      <c r="N78" s="108"/>
      <c r="O78" s="79">
        <f t="shared" si="3"/>
        <v>0</v>
      </c>
      <c r="P78" s="82">
        <f t="shared" si="4"/>
        <v>0</v>
      </c>
      <c r="Q78" s="109"/>
      <c r="R78" s="79">
        <f t="shared" si="5"/>
        <v>0</v>
      </c>
      <c r="S78" s="84">
        <f t="shared" si="6"/>
        <v>0</v>
      </c>
      <c r="T78" s="109"/>
      <c r="U78" s="79">
        <f t="shared" si="7"/>
        <v>0</v>
      </c>
      <c r="V78" s="106"/>
      <c r="W78" s="88" t="str">
        <f t="shared" si="8"/>
        <v/>
      </c>
    </row>
    <row r="79" ht="19.5" customHeight="1">
      <c r="A79" s="52">
        <v>72.0</v>
      </c>
      <c r="B79" s="106"/>
      <c r="C79" s="126"/>
      <c r="D79" s="88"/>
      <c r="E79" s="121"/>
      <c r="F79" s="110"/>
      <c r="G79" s="122"/>
      <c r="H79" s="126"/>
      <c r="I79" s="107"/>
      <c r="J79" s="107"/>
      <c r="K79" s="123"/>
      <c r="L79" s="123"/>
      <c r="M79" s="109"/>
      <c r="N79" s="108"/>
      <c r="O79" s="79">
        <f t="shared" si="3"/>
        <v>0</v>
      </c>
      <c r="P79" s="82">
        <f t="shared" si="4"/>
        <v>0</v>
      </c>
      <c r="Q79" s="109"/>
      <c r="R79" s="79">
        <f t="shared" si="5"/>
        <v>0</v>
      </c>
      <c r="S79" s="84">
        <f t="shared" si="6"/>
        <v>0</v>
      </c>
      <c r="T79" s="109"/>
      <c r="U79" s="79">
        <f t="shared" si="7"/>
        <v>0</v>
      </c>
      <c r="V79" s="106"/>
      <c r="W79" s="88" t="str">
        <f t="shared" si="8"/>
        <v/>
      </c>
    </row>
    <row r="80" ht="19.5" customHeight="1">
      <c r="A80" s="52">
        <v>73.0</v>
      </c>
      <c r="B80" s="106"/>
      <c r="C80" s="126"/>
      <c r="D80" s="88"/>
      <c r="E80" s="121"/>
      <c r="F80" s="110"/>
      <c r="G80" s="122"/>
      <c r="H80" s="126"/>
      <c r="I80" s="107"/>
      <c r="J80" s="107"/>
      <c r="K80" s="123"/>
      <c r="L80" s="123"/>
      <c r="M80" s="109"/>
      <c r="N80" s="108"/>
      <c r="O80" s="79">
        <f t="shared" si="3"/>
        <v>0</v>
      </c>
      <c r="P80" s="82">
        <f t="shared" si="4"/>
        <v>0</v>
      </c>
      <c r="Q80" s="109"/>
      <c r="R80" s="79">
        <f t="shared" si="5"/>
        <v>0</v>
      </c>
      <c r="S80" s="84">
        <f t="shared" si="6"/>
        <v>0</v>
      </c>
      <c r="T80" s="109"/>
      <c r="U80" s="79">
        <f t="shared" si="7"/>
        <v>0</v>
      </c>
      <c r="V80" s="106"/>
      <c r="W80" s="88" t="str">
        <f t="shared" si="8"/>
        <v/>
      </c>
    </row>
    <row r="81" ht="19.5" customHeight="1">
      <c r="A81" s="52">
        <v>74.0</v>
      </c>
      <c r="B81" s="106"/>
      <c r="C81" s="126"/>
      <c r="D81" s="88"/>
      <c r="E81" s="121"/>
      <c r="F81" s="110"/>
      <c r="G81" s="122"/>
      <c r="H81" s="126"/>
      <c r="I81" s="107"/>
      <c r="J81" s="107"/>
      <c r="K81" s="123"/>
      <c r="L81" s="123"/>
      <c r="M81" s="109"/>
      <c r="N81" s="108"/>
      <c r="O81" s="79">
        <f t="shared" si="3"/>
        <v>0</v>
      </c>
      <c r="P81" s="82">
        <f t="shared" si="4"/>
        <v>0</v>
      </c>
      <c r="Q81" s="109"/>
      <c r="R81" s="79">
        <f t="shared" si="5"/>
        <v>0</v>
      </c>
      <c r="S81" s="84">
        <f t="shared" si="6"/>
        <v>0</v>
      </c>
      <c r="T81" s="109"/>
      <c r="U81" s="79">
        <f t="shared" si="7"/>
        <v>0</v>
      </c>
      <c r="V81" s="106"/>
      <c r="W81" s="88" t="str">
        <f t="shared" si="8"/>
        <v/>
      </c>
    </row>
    <row r="82" ht="19.5" customHeight="1">
      <c r="A82" s="52">
        <v>75.0</v>
      </c>
      <c r="B82" s="106"/>
      <c r="C82" s="126"/>
      <c r="D82" s="88"/>
      <c r="E82" s="121"/>
      <c r="F82" s="110"/>
      <c r="G82" s="122"/>
      <c r="H82" s="126"/>
      <c r="I82" s="107"/>
      <c r="J82" s="107"/>
      <c r="K82" s="123"/>
      <c r="L82" s="123"/>
      <c r="M82" s="109"/>
      <c r="N82" s="108"/>
      <c r="O82" s="79">
        <f t="shared" si="3"/>
        <v>0</v>
      </c>
      <c r="P82" s="82">
        <f t="shared" si="4"/>
        <v>0</v>
      </c>
      <c r="Q82" s="109"/>
      <c r="R82" s="79">
        <f t="shared" si="5"/>
        <v>0</v>
      </c>
      <c r="S82" s="84">
        <f t="shared" si="6"/>
        <v>0</v>
      </c>
      <c r="T82" s="109"/>
      <c r="U82" s="79">
        <f t="shared" si="7"/>
        <v>0</v>
      </c>
      <c r="V82" s="106"/>
      <c r="W82" s="88" t="str">
        <f t="shared" si="8"/>
        <v/>
      </c>
    </row>
    <row r="83" ht="19.5" customHeight="1">
      <c r="A83" s="52">
        <v>76.0</v>
      </c>
      <c r="B83" s="106"/>
      <c r="C83" s="126"/>
      <c r="D83" s="88"/>
      <c r="E83" s="121"/>
      <c r="F83" s="110"/>
      <c r="G83" s="122"/>
      <c r="H83" s="126"/>
      <c r="I83" s="107"/>
      <c r="J83" s="107"/>
      <c r="K83" s="123"/>
      <c r="L83" s="123"/>
      <c r="M83" s="109"/>
      <c r="N83" s="108"/>
      <c r="O83" s="79">
        <f t="shared" si="3"/>
        <v>0</v>
      </c>
      <c r="P83" s="82">
        <f t="shared" si="4"/>
        <v>0</v>
      </c>
      <c r="Q83" s="109"/>
      <c r="R83" s="79">
        <f t="shared" si="5"/>
        <v>0</v>
      </c>
      <c r="S83" s="84">
        <f t="shared" si="6"/>
        <v>0</v>
      </c>
      <c r="T83" s="109"/>
      <c r="U83" s="79">
        <f t="shared" si="7"/>
        <v>0</v>
      </c>
      <c r="V83" s="106"/>
      <c r="W83" s="88" t="str">
        <f t="shared" si="8"/>
        <v/>
      </c>
    </row>
    <row r="84" ht="19.5" customHeight="1">
      <c r="A84" s="52">
        <v>77.0</v>
      </c>
      <c r="B84" s="106"/>
      <c r="C84" s="126"/>
      <c r="D84" s="88"/>
      <c r="E84" s="121"/>
      <c r="F84" s="110"/>
      <c r="G84" s="122"/>
      <c r="H84" s="126"/>
      <c r="I84" s="107"/>
      <c r="J84" s="107"/>
      <c r="K84" s="123"/>
      <c r="L84" s="123"/>
      <c r="M84" s="109"/>
      <c r="N84" s="108"/>
      <c r="O84" s="79">
        <f t="shared" si="3"/>
        <v>0</v>
      </c>
      <c r="P84" s="82">
        <f t="shared" si="4"/>
        <v>0</v>
      </c>
      <c r="Q84" s="109"/>
      <c r="R84" s="79">
        <f t="shared" si="5"/>
        <v>0</v>
      </c>
      <c r="S84" s="84">
        <f t="shared" si="6"/>
        <v>0</v>
      </c>
      <c r="T84" s="109"/>
      <c r="U84" s="79">
        <f t="shared" si="7"/>
        <v>0</v>
      </c>
      <c r="V84" s="106"/>
      <c r="W84" s="88" t="str">
        <f t="shared" si="8"/>
        <v/>
      </c>
    </row>
    <row r="85" ht="19.5" customHeight="1">
      <c r="A85" s="52">
        <v>78.0</v>
      </c>
      <c r="B85" s="106"/>
      <c r="C85" s="126"/>
      <c r="D85" s="88"/>
      <c r="E85" s="121"/>
      <c r="F85" s="110"/>
      <c r="G85" s="122"/>
      <c r="H85" s="126"/>
      <c r="I85" s="107"/>
      <c r="J85" s="107"/>
      <c r="K85" s="123"/>
      <c r="L85" s="123"/>
      <c r="M85" s="109"/>
      <c r="N85" s="108"/>
      <c r="O85" s="79">
        <f t="shared" si="3"/>
        <v>0</v>
      </c>
      <c r="P85" s="82">
        <f t="shared" si="4"/>
        <v>0</v>
      </c>
      <c r="Q85" s="109"/>
      <c r="R85" s="79">
        <f t="shared" si="5"/>
        <v>0</v>
      </c>
      <c r="S85" s="84">
        <f t="shared" si="6"/>
        <v>0</v>
      </c>
      <c r="T85" s="109"/>
      <c r="U85" s="79">
        <f t="shared" si="7"/>
        <v>0</v>
      </c>
      <c r="V85" s="106"/>
      <c r="W85" s="88" t="str">
        <f t="shared" si="8"/>
        <v/>
      </c>
    </row>
    <row r="86" ht="19.5" customHeight="1">
      <c r="A86" s="52">
        <v>79.0</v>
      </c>
      <c r="B86" s="106"/>
      <c r="C86" s="126"/>
      <c r="D86" s="88"/>
      <c r="E86" s="121"/>
      <c r="F86" s="110"/>
      <c r="G86" s="122"/>
      <c r="H86" s="126"/>
      <c r="I86" s="107"/>
      <c r="J86" s="107"/>
      <c r="K86" s="123"/>
      <c r="L86" s="123"/>
      <c r="M86" s="109"/>
      <c r="N86" s="108"/>
      <c r="O86" s="79">
        <f t="shared" si="3"/>
        <v>0</v>
      </c>
      <c r="P86" s="82">
        <f t="shared" si="4"/>
        <v>0</v>
      </c>
      <c r="Q86" s="109"/>
      <c r="R86" s="79">
        <f t="shared" si="5"/>
        <v>0</v>
      </c>
      <c r="S86" s="84">
        <f t="shared" si="6"/>
        <v>0</v>
      </c>
      <c r="T86" s="109"/>
      <c r="U86" s="79">
        <f t="shared" si="7"/>
        <v>0</v>
      </c>
      <c r="V86" s="106"/>
      <c r="W86" s="88" t="str">
        <f t="shared" si="8"/>
        <v/>
      </c>
    </row>
    <row r="87" ht="19.5" customHeight="1">
      <c r="A87" s="52">
        <v>80.0</v>
      </c>
      <c r="B87" s="106"/>
      <c r="C87" s="126"/>
      <c r="D87" s="88"/>
      <c r="E87" s="121"/>
      <c r="F87" s="110"/>
      <c r="G87" s="122"/>
      <c r="H87" s="126"/>
      <c r="I87" s="107"/>
      <c r="J87" s="107"/>
      <c r="K87" s="123"/>
      <c r="L87" s="123"/>
      <c r="M87" s="109"/>
      <c r="N87" s="108"/>
      <c r="O87" s="79">
        <f t="shared" si="3"/>
        <v>0</v>
      </c>
      <c r="P87" s="82">
        <f t="shared" si="4"/>
        <v>0</v>
      </c>
      <c r="Q87" s="109"/>
      <c r="R87" s="79">
        <f t="shared" si="5"/>
        <v>0</v>
      </c>
      <c r="S87" s="84">
        <f t="shared" si="6"/>
        <v>0</v>
      </c>
      <c r="T87" s="109"/>
      <c r="U87" s="79">
        <f t="shared" si="7"/>
        <v>0</v>
      </c>
      <c r="V87" s="106"/>
      <c r="W87" s="88" t="str">
        <f t="shared" si="8"/>
        <v/>
      </c>
    </row>
    <row r="88" ht="19.5" customHeight="1">
      <c r="A88" s="52">
        <v>81.0</v>
      </c>
      <c r="B88" s="106"/>
      <c r="C88" s="126"/>
      <c r="D88" s="88"/>
      <c r="E88" s="121"/>
      <c r="F88" s="110"/>
      <c r="G88" s="122"/>
      <c r="H88" s="126"/>
      <c r="I88" s="107"/>
      <c r="J88" s="107"/>
      <c r="K88" s="123"/>
      <c r="L88" s="123"/>
      <c r="M88" s="109"/>
      <c r="N88" s="108"/>
      <c r="O88" s="79">
        <f t="shared" si="3"/>
        <v>0</v>
      </c>
      <c r="P88" s="82">
        <f t="shared" si="4"/>
        <v>0</v>
      </c>
      <c r="Q88" s="109"/>
      <c r="R88" s="79">
        <f t="shared" si="5"/>
        <v>0</v>
      </c>
      <c r="S88" s="84">
        <f t="shared" si="6"/>
        <v>0</v>
      </c>
      <c r="T88" s="109"/>
      <c r="U88" s="79">
        <f t="shared" si="7"/>
        <v>0</v>
      </c>
      <c r="V88" s="106"/>
      <c r="W88" s="88" t="str">
        <f t="shared" si="8"/>
        <v/>
      </c>
    </row>
    <row r="89" ht="19.5" customHeight="1">
      <c r="A89" s="52">
        <v>82.0</v>
      </c>
      <c r="B89" s="106"/>
      <c r="C89" s="126"/>
      <c r="D89" s="88"/>
      <c r="E89" s="121"/>
      <c r="F89" s="110"/>
      <c r="G89" s="122"/>
      <c r="H89" s="126"/>
      <c r="I89" s="107"/>
      <c r="J89" s="107"/>
      <c r="K89" s="123"/>
      <c r="L89" s="123"/>
      <c r="M89" s="109"/>
      <c r="N89" s="108"/>
      <c r="O89" s="79">
        <f t="shared" si="3"/>
        <v>0</v>
      </c>
      <c r="P89" s="82">
        <f t="shared" si="4"/>
        <v>0</v>
      </c>
      <c r="Q89" s="109"/>
      <c r="R89" s="79">
        <f t="shared" si="5"/>
        <v>0</v>
      </c>
      <c r="S89" s="84">
        <f t="shared" si="6"/>
        <v>0</v>
      </c>
      <c r="T89" s="109"/>
      <c r="U89" s="79">
        <f t="shared" si="7"/>
        <v>0</v>
      </c>
      <c r="V89" s="106"/>
      <c r="W89" s="88" t="str">
        <f t="shared" si="8"/>
        <v/>
      </c>
    </row>
    <row r="90" ht="19.5" customHeight="1">
      <c r="A90" s="52">
        <v>83.0</v>
      </c>
      <c r="B90" s="106"/>
      <c r="C90" s="126"/>
      <c r="D90" s="88"/>
      <c r="E90" s="121"/>
      <c r="F90" s="110"/>
      <c r="G90" s="122"/>
      <c r="H90" s="126"/>
      <c r="I90" s="107"/>
      <c r="J90" s="107"/>
      <c r="K90" s="123"/>
      <c r="L90" s="123"/>
      <c r="M90" s="109"/>
      <c r="N90" s="108"/>
      <c r="O90" s="79">
        <f t="shared" si="3"/>
        <v>0</v>
      </c>
      <c r="P90" s="82">
        <f t="shared" si="4"/>
        <v>0</v>
      </c>
      <c r="Q90" s="109"/>
      <c r="R90" s="79">
        <f t="shared" si="5"/>
        <v>0</v>
      </c>
      <c r="S90" s="84">
        <f t="shared" si="6"/>
        <v>0</v>
      </c>
      <c r="T90" s="109"/>
      <c r="U90" s="79">
        <f t="shared" si="7"/>
        <v>0</v>
      </c>
      <c r="V90" s="106"/>
      <c r="W90" s="88" t="str">
        <f t="shared" si="8"/>
        <v/>
      </c>
    </row>
    <row r="91" ht="19.5" customHeight="1">
      <c r="A91" s="52">
        <v>84.0</v>
      </c>
      <c r="B91" s="106"/>
      <c r="C91" s="126"/>
      <c r="D91" s="88"/>
      <c r="E91" s="121"/>
      <c r="F91" s="110"/>
      <c r="G91" s="122"/>
      <c r="H91" s="126"/>
      <c r="I91" s="107"/>
      <c r="J91" s="107"/>
      <c r="K91" s="123"/>
      <c r="L91" s="123"/>
      <c r="M91" s="109"/>
      <c r="N91" s="108"/>
      <c r="O91" s="79">
        <f t="shared" si="3"/>
        <v>0</v>
      </c>
      <c r="P91" s="82">
        <f t="shared" si="4"/>
        <v>0</v>
      </c>
      <c r="Q91" s="109"/>
      <c r="R91" s="79">
        <f t="shared" si="5"/>
        <v>0</v>
      </c>
      <c r="S91" s="84">
        <f t="shared" si="6"/>
        <v>0</v>
      </c>
      <c r="T91" s="109"/>
      <c r="U91" s="79">
        <f t="shared" si="7"/>
        <v>0</v>
      </c>
      <c r="V91" s="106"/>
      <c r="W91" s="88" t="str">
        <f t="shared" si="8"/>
        <v/>
      </c>
    </row>
    <row r="92" ht="19.5" customHeight="1">
      <c r="A92" s="52">
        <v>85.0</v>
      </c>
      <c r="B92" s="106"/>
      <c r="C92" s="126"/>
      <c r="D92" s="88"/>
      <c r="E92" s="121"/>
      <c r="F92" s="110"/>
      <c r="G92" s="122"/>
      <c r="H92" s="126"/>
      <c r="I92" s="107"/>
      <c r="J92" s="107"/>
      <c r="K92" s="123"/>
      <c r="L92" s="123"/>
      <c r="M92" s="109"/>
      <c r="N92" s="108"/>
      <c r="O92" s="79">
        <f t="shared" si="3"/>
        <v>0</v>
      </c>
      <c r="P92" s="82">
        <f t="shared" si="4"/>
        <v>0</v>
      </c>
      <c r="Q92" s="109"/>
      <c r="R92" s="79">
        <f t="shared" si="5"/>
        <v>0</v>
      </c>
      <c r="S92" s="84">
        <f t="shared" si="6"/>
        <v>0</v>
      </c>
      <c r="T92" s="109"/>
      <c r="U92" s="79">
        <f t="shared" si="7"/>
        <v>0</v>
      </c>
      <c r="V92" s="106"/>
      <c r="W92" s="88" t="str">
        <f t="shared" si="8"/>
        <v/>
      </c>
    </row>
    <row r="93" ht="19.5" customHeight="1">
      <c r="A93" s="52">
        <v>86.0</v>
      </c>
      <c r="B93" s="106"/>
      <c r="C93" s="126"/>
      <c r="D93" s="88"/>
      <c r="E93" s="121"/>
      <c r="F93" s="110"/>
      <c r="G93" s="122"/>
      <c r="H93" s="126"/>
      <c r="I93" s="107"/>
      <c r="J93" s="107"/>
      <c r="K93" s="123"/>
      <c r="L93" s="123"/>
      <c r="M93" s="109"/>
      <c r="N93" s="108"/>
      <c r="O93" s="79">
        <f t="shared" si="3"/>
        <v>0</v>
      </c>
      <c r="P93" s="82">
        <f t="shared" si="4"/>
        <v>0</v>
      </c>
      <c r="Q93" s="109"/>
      <c r="R93" s="79">
        <f t="shared" si="5"/>
        <v>0</v>
      </c>
      <c r="S93" s="84">
        <f t="shared" si="6"/>
        <v>0</v>
      </c>
      <c r="T93" s="109"/>
      <c r="U93" s="79">
        <f t="shared" si="7"/>
        <v>0</v>
      </c>
      <c r="V93" s="106"/>
      <c r="W93" s="88" t="str">
        <f t="shared" si="8"/>
        <v/>
      </c>
    </row>
    <row r="94" ht="19.5" customHeight="1">
      <c r="A94" s="52">
        <v>87.0</v>
      </c>
      <c r="B94" s="106"/>
      <c r="C94" s="126"/>
      <c r="D94" s="88"/>
      <c r="E94" s="121"/>
      <c r="F94" s="110"/>
      <c r="G94" s="122"/>
      <c r="H94" s="126"/>
      <c r="I94" s="107"/>
      <c r="J94" s="107"/>
      <c r="K94" s="123"/>
      <c r="L94" s="123"/>
      <c r="M94" s="109"/>
      <c r="N94" s="108"/>
      <c r="O94" s="79">
        <f t="shared" si="3"/>
        <v>0</v>
      </c>
      <c r="P94" s="82">
        <f t="shared" si="4"/>
        <v>0</v>
      </c>
      <c r="Q94" s="109"/>
      <c r="R94" s="79">
        <f t="shared" si="5"/>
        <v>0</v>
      </c>
      <c r="S94" s="84">
        <f t="shared" si="6"/>
        <v>0</v>
      </c>
      <c r="T94" s="109"/>
      <c r="U94" s="79">
        <f t="shared" si="7"/>
        <v>0</v>
      </c>
      <c r="V94" s="106"/>
      <c r="W94" s="88" t="str">
        <f t="shared" si="8"/>
        <v/>
      </c>
    </row>
    <row r="95" ht="19.5" customHeight="1">
      <c r="A95" s="52">
        <v>88.0</v>
      </c>
      <c r="B95" s="106"/>
      <c r="C95" s="126"/>
      <c r="D95" s="88"/>
      <c r="E95" s="121"/>
      <c r="F95" s="110"/>
      <c r="G95" s="122"/>
      <c r="H95" s="126"/>
      <c r="I95" s="107"/>
      <c r="J95" s="107"/>
      <c r="K95" s="123"/>
      <c r="L95" s="123"/>
      <c r="M95" s="109"/>
      <c r="N95" s="108"/>
      <c r="O95" s="79">
        <f t="shared" si="3"/>
        <v>0</v>
      </c>
      <c r="P95" s="82">
        <f t="shared" si="4"/>
        <v>0</v>
      </c>
      <c r="Q95" s="109"/>
      <c r="R95" s="79">
        <f t="shared" si="5"/>
        <v>0</v>
      </c>
      <c r="S95" s="84">
        <f t="shared" si="6"/>
        <v>0</v>
      </c>
      <c r="T95" s="109"/>
      <c r="U95" s="79">
        <f t="shared" si="7"/>
        <v>0</v>
      </c>
      <c r="V95" s="106"/>
      <c r="W95" s="88" t="str">
        <f t="shared" si="8"/>
        <v/>
      </c>
    </row>
    <row r="96" ht="19.5" customHeight="1">
      <c r="A96" s="52">
        <v>89.0</v>
      </c>
      <c r="B96" s="106"/>
      <c r="C96" s="126"/>
      <c r="D96" s="88"/>
      <c r="E96" s="121"/>
      <c r="F96" s="110"/>
      <c r="G96" s="122"/>
      <c r="H96" s="126"/>
      <c r="I96" s="107"/>
      <c r="J96" s="107"/>
      <c r="K96" s="123"/>
      <c r="L96" s="123"/>
      <c r="M96" s="109"/>
      <c r="N96" s="108"/>
      <c r="O96" s="79">
        <f t="shared" si="3"/>
        <v>0</v>
      </c>
      <c r="P96" s="82">
        <f t="shared" si="4"/>
        <v>0</v>
      </c>
      <c r="Q96" s="109"/>
      <c r="R96" s="79">
        <f t="shared" si="5"/>
        <v>0</v>
      </c>
      <c r="S96" s="84">
        <f t="shared" si="6"/>
        <v>0</v>
      </c>
      <c r="T96" s="109"/>
      <c r="U96" s="79">
        <f t="shared" si="7"/>
        <v>0</v>
      </c>
      <c r="V96" s="106"/>
      <c r="W96" s="88" t="str">
        <f t="shared" si="8"/>
        <v/>
      </c>
    </row>
    <row r="97" ht="19.5" customHeight="1">
      <c r="A97" s="52">
        <v>90.0</v>
      </c>
      <c r="B97" s="106"/>
      <c r="C97" s="126"/>
      <c r="D97" s="88"/>
      <c r="E97" s="121"/>
      <c r="F97" s="110"/>
      <c r="G97" s="122"/>
      <c r="H97" s="126"/>
      <c r="I97" s="107"/>
      <c r="J97" s="107"/>
      <c r="K97" s="123"/>
      <c r="L97" s="123"/>
      <c r="M97" s="109"/>
      <c r="N97" s="108"/>
      <c r="O97" s="79">
        <f t="shared" si="3"/>
        <v>0</v>
      </c>
      <c r="P97" s="82">
        <f t="shared" si="4"/>
        <v>0</v>
      </c>
      <c r="Q97" s="109"/>
      <c r="R97" s="79">
        <f t="shared" si="5"/>
        <v>0</v>
      </c>
      <c r="S97" s="84">
        <f t="shared" si="6"/>
        <v>0</v>
      </c>
      <c r="T97" s="109"/>
      <c r="U97" s="79">
        <f t="shared" si="7"/>
        <v>0</v>
      </c>
      <c r="V97" s="106"/>
      <c r="W97" s="88" t="str">
        <f t="shared" si="8"/>
        <v/>
      </c>
    </row>
    <row r="98" ht="19.5" customHeight="1">
      <c r="A98" s="52">
        <v>91.0</v>
      </c>
      <c r="B98" s="106"/>
      <c r="C98" s="126"/>
      <c r="D98" s="88"/>
      <c r="E98" s="121"/>
      <c r="F98" s="110"/>
      <c r="G98" s="122"/>
      <c r="H98" s="126"/>
      <c r="I98" s="107"/>
      <c r="J98" s="107"/>
      <c r="K98" s="123"/>
      <c r="L98" s="123"/>
      <c r="M98" s="109"/>
      <c r="N98" s="108"/>
      <c r="O98" s="79">
        <f t="shared" si="3"/>
        <v>0</v>
      </c>
      <c r="P98" s="82">
        <f t="shared" si="4"/>
        <v>0</v>
      </c>
      <c r="Q98" s="109"/>
      <c r="R98" s="79">
        <f t="shared" si="5"/>
        <v>0</v>
      </c>
      <c r="S98" s="84">
        <f t="shared" si="6"/>
        <v>0</v>
      </c>
      <c r="T98" s="109"/>
      <c r="U98" s="79">
        <f t="shared" si="7"/>
        <v>0</v>
      </c>
      <c r="V98" s="106"/>
      <c r="W98" s="88" t="str">
        <f t="shared" si="8"/>
        <v/>
      </c>
    </row>
    <row r="99" ht="19.5" customHeight="1">
      <c r="A99" s="52">
        <v>92.0</v>
      </c>
      <c r="B99" s="106"/>
      <c r="C99" s="126"/>
      <c r="D99" s="88"/>
      <c r="E99" s="121"/>
      <c r="F99" s="110"/>
      <c r="G99" s="122"/>
      <c r="H99" s="126"/>
      <c r="I99" s="107"/>
      <c r="J99" s="107"/>
      <c r="K99" s="123"/>
      <c r="L99" s="123"/>
      <c r="M99" s="109"/>
      <c r="N99" s="108"/>
      <c r="O99" s="79">
        <f t="shared" si="3"/>
        <v>0</v>
      </c>
      <c r="P99" s="82">
        <f t="shared" si="4"/>
        <v>0</v>
      </c>
      <c r="Q99" s="109"/>
      <c r="R99" s="79">
        <f t="shared" si="5"/>
        <v>0</v>
      </c>
      <c r="S99" s="84">
        <f t="shared" si="6"/>
        <v>0</v>
      </c>
      <c r="T99" s="109"/>
      <c r="U99" s="79">
        <f t="shared" si="7"/>
        <v>0</v>
      </c>
      <c r="V99" s="106"/>
      <c r="W99" s="88" t="str">
        <f t="shared" si="8"/>
        <v/>
      </c>
    </row>
    <row r="100" ht="19.5" customHeight="1">
      <c r="A100" s="52">
        <v>93.0</v>
      </c>
      <c r="B100" s="106"/>
      <c r="C100" s="126"/>
      <c r="D100" s="88"/>
      <c r="E100" s="121"/>
      <c r="F100" s="110"/>
      <c r="G100" s="122"/>
      <c r="H100" s="126"/>
      <c r="I100" s="107"/>
      <c r="J100" s="107"/>
      <c r="K100" s="123"/>
      <c r="L100" s="123"/>
      <c r="M100" s="109"/>
      <c r="N100" s="108"/>
      <c r="O100" s="79">
        <f t="shared" si="3"/>
        <v>0</v>
      </c>
      <c r="P100" s="82">
        <f t="shared" si="4"/>
        <v>0</v>
      </c>
      <c r="Q100" s="109"/>
      <c r="R100" s="79">
        <f t="shared" si="5"/>
        <v>0</v>
      </c>
      <c r="S100" s="84">
        <f t="shared" si="6"/>
        <v>0</v>
      </c>
      <c r="T100" s="109"/>
      <c r="U100" s="79">
        <f t="shared" si="7"/>
        <v>0</v>
      </c>
      <c r="V100" s="106"/>
      <c r="W100" s="88" t="str">
        <f t="shared" si="8"/>
        <v/>
      </c>
    </row>
    <row r="101" ht="19.5" customHeight="1">
      <c r="A101" s="52">
        <v>94.0</v>
      </c>
      <c r="B101" s="106"/>
      <c r="C101" s="126"/>
      <c r="D101" s="88"/>
      <c r="E101" s="121"/>
      <c r="F101" s="110"/>
      <c r="G101" s="122"/>
      <c r="H101" s="126"/>
      <c r="I101" s="107"/>
      <c r="J101" s="107"/>
      <c r="K101" s="123"/>
      <c r="L101" s="123"/>
      <c r="M101" s="109"/>
      <c r="N101" s="108"/>
      <c r="O101" s="79">
        <f t="shared" si="3"/>
        <v>0</v>
      </c>
      <c r="P101" s="82">
        <f t="shared" si="4"/>
        <v>0</v>
      </c>
      <c r="Q101" s="109"/>
      <c r="R101" s="79">
        <f t="shared" si="5"/>
        <v>0</v>
      </c>
      <c r="S101" s="84">
        <f t="shared" si="6"/>
        <v>0</v>
      </c>
      <c r="T101" s="109"/>
      <c r="U101" s="79">
        <f t="shared" si="7"/>
        <v>0</v>
      </c>
      <c r="V101" s="106"/>
      <c r="W101" s="88" t="str">
        <f t="shared" si="8"/>
        <v/>
      </c>
    </row>
    <row r="102" ht="19.5" customHeight="1">
      <c r="A102" s="52">
        <v>95.0</v>
      </c>
      <c r="B102" s="106"/>
      <c r="C102" s="126"/>
      <c r="D102" s="88"/>
      <c r="E102" s="121"/>
      <c r="F102" s="110"/>
      <c r="G102" s="122"/>
      <c r="H102" s="126"/>
      <c r="I102" s="107"/>
      <c r="J102" s="107"/>
      <c r="K102" s="123"/>
      <c r="L102" s="123"/>
      <c r="M102" s="109"/>
      <c r="N102" s="108"/>
      <c r="O102" s="79">
        <f t="shared" si="3"/>
        <v>0</v>
      </c>
      <c r="P102" s="82">
        <f t="shared" si="4"/>
        <v>0</v>
      </c>
      <c r="Q102" s="109"/>
      <c r="R102" s="79">
        <f t="shared" si="5"/>
        <v>0</v>
      </c>
      <c r="S102" s="84">
        <f t="shared" si="6"/>
        <v>0</v>
      </c>
      <c r="T102" s="109"/>
      <c r="U102" s="79">
        <f t="shared" si="7"/>
        <v>0</v>
      </c>
      <c r="V102" s="106"/>
      <c r="W102" s="88" t="str">
        <f t="shared" si="8"/>
        <v/>
      </c>
    </row>
    <row r="103" ht="19.5" customHeight="1">
      <c r="A103" s="52">
        <v>96.0</v>
      </c>
      <c r="B103" s="106"/>
      <c r="C103" s="126"/>
      <c r="D103" s="88"/>
      <c r="E103" s="121"/>
      <c r="F103" s="110"/>
      <c r="G103" s="122"/>
      <c r="H103" s="126"/>
      <c r="I103" s="107"/>
      <c r="J103" s="107"/>
      <c r="K103" s="123"/>
      <c r="L103" s="123"/>
      <c r="M103" s="109"/>
      <c r="N103" s="108"/>
      <c r="O103" s="79">
        <f t="shared" si="3"/>
        <v>0</v>
      </c>
      <c r="P103" s="82">
        <f t="shared" si="4"/>
        <v>0</v>
      </c>
      <c r="Q103" s="109"/>
      <c r="R103" s="79">
        <f t="shared" si="5"/>
        <v>0</v>
      </c>
      <c r="S103" s="84">
        <f t="shared" si="6"/>
        <v>0</v>
      </c>
      <c r="T103" s="109"/>
      <c r="U103" s="79">
        <f t="shared" si="7"/>
        <v>0</v>
      </c>
      <c r="V103" s="106"/>
      <c r="W103" s="88" t="str">
        <f t="shared" si="8"/>
        <v/>
      </c>
    </row>
    <row r="104" ht="19.5" customHeight="1">
      <c r="A104" s="52">
        <v>97.0</v>
      </c>
      <c r="B104" s="106"/>
      <c r="C104" s="126"/>
      <c r="D104" s="88"/>
      <c r="E104" s="121"/>
      <c r="F104" s="110"/>
      <c r="G104" s="122"/>
      <c r="H104" s="126"/>
      <c r="I104" s="107"/>
      <c r="J104" s="107"/>
      <c r="K104" s="123"/>
      <c r="L104" s="123"/>
      <c r="M104" s="109"/>
      <c r="N104" s="108"/>
      <c r="O104" s="79">
        <f t="shared" si="3"/>
        <v>0</v>
      </c>
      <c r="P104" s="82">
        <f t="shared" si="4"/>
        <v>0</v>
      </c>
      <c r="Q104" s="109"/>
      <c r="R104" s="79">
        <f t="shared" si="5"/>
        <v>0</v>
      </c>
      <c r="S104" s="84">
        <f t="shared" si="6"/>
        <v>0</v>
      </c>
      <c r="T104" s="109"/>
      <c r="U104" s="79">
        <f t="shared" si="7"/>
        <v>0</v>
      </c>
      <c r="V104" s="106"/>
      <c r="W104" s="88" t="str">
        <f t="shared" si="8"/>
        <v/>
      </c>
    </row>
    <row r="105" ht="19.5" customHeight="1">
      <c r="A105" s="52">
        <v>98.0</v>
      </c>
      <c r="B105" s="106"/>
      <c r="C105" s="126"/>
      <c r="D105" s="88"/>
      <c r="E105" s="121"/>
      <c r="F105" s="110"/>
      <c r="G105" s="122"/>
      <c r="H105" s="126"/>
      <c r="I105" s="107"/>
      <c r="J105" s="107"/>
      <c r="K105" s="123"/>
      <c r="L105" s="123"/>
      <c r="M105" s="109"/>
      <c r="N105" s="108"/>
      <c r="O105" s="79">
        <f t="shared" si="3"/>
        <v>0</v>
      </c>
      <c r="P105" s="82">
        <f t="shared" si="4"/>
        <v>0</v>
      </c>
      <c r="Q105" s="109"/>
      <c r="R105" s="79">
        <f t="shared" si="5"/>
        <v>0</v>
      </c>
      <c r="S105" s="84">
        <f t="shared" si="6"/>
        <v>0</v>
      </c>
      <c r="T105" s="109"/>
      <c r="U105" s="79">
        <f t="shared" si="7"/>
        <v>0</v>
      </c>
      <c r="V105" s="106"/>
      <c r="W105" s="88" t="str">
        <f t="shared" si="8"/>
        <v/>
      </c>
    </row>
    <row r="106" ht="19.5" customHeight="1">
      <c r="A106" s="52">
        <v>99.0</v>
      </c>
      <c r="B106" s="106"/>
      <c r="C106" s="126"/>
      <c r="D106" s="88"/>
      <c r="E106" s="121"/>
      <c r="F106" s="110"/>
      <c r="G106" s="122"/>
      <c r="H106" s="126"/>
      <c r="I106" s="107"/>
      <c r="J106" s="107"/>
      <c r="K106" s="123"/>
      <c r="L106" s="123"/>
      <c r="M106" s="109"/>
      <c r="N106" s="108"/>
      <c r="O106" s="79">
        <f t="shared" si="3"/>
        <v>0</v>
      </c>
      <c r="P106" s="82">
        <f t="shared" si="4"/>
        <v>0</v>
      </c>
      <c r="Q106" s="109"/>
      <c r="R106" s="79">
        <f t="shared" si="5"/>
        <v>0</v>
      </c>
      <c r="S106" s="84">
        <f t="shared" si="6"/>
        <v>0</v>
      </c>
      <c r="T106" s="109"/>
      <c r="U106" s="79">
        <f t="shared" si="7"/>
        <v>0</v>
      </c>
      <c r="V106" s="106"/>
      <c r="W106" s="88" t="str">
        <f t="shared" si="8"/>
        <v/>
      </c>
    </row>
    <row r="107" ht="19.5" customHeight="1">
      <c r="A107" s="52">
        <v>100.0</v>
      </c>
      <c r="B107" s="106"/>
      <c r="C107" s="126"/>
      <c r="D107" s="88"/>
      <c r="E107" s="121"/>
      <c r="F107" s="110"/>
      <c r="G107" s="122"/>
      <c r="H107" s="126"/>
      <c r="I107" s="107"/>
      <c r="J107" s="107"/>
      <c r="K107" s="123"/>
      <c r="L107" s="123"/>
      <c r="M107" s="109"/>
      <c r="N107" s="108"/>
      <c r="O107" s="79">
        <f t="shared" si="3"/>
        <v>0</v>
      </c>
      <c r="P107" s="82">
        <f t="shared" si="4"/>
        <v>0</v>
      </c>
      <c r="Q107" s="109"/>
      <c r="R107" s="79">
        <f t="shared" si="5"/>
        <v>0</v>
      </c>
      <c r="S107" s="84">
        <f t="shared" si="6"/>
        <v>0</v>
      </c>
      <c r="T107" s="109"/>
      <c r="U107" s="79">
        <f t="shared" si="7"/>
        <v>0</v>
      </c>
      <c r="V107" s="106"/>
      <c r="W107" s="88" t="str">
        <f t="shared" si="8"/>
        <v/>
      </c>
    </row>
    <row r="108" ht="12.75" customHeight="1">
      <c r="A108" s="5"/>
      <c r="B108" s="5"/>
      <c r="C108" s="8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2.75" customHeight="1">
      <c r="A109" s="5"/>
      <c r="B109" s="5"/>
      <c r="C109" s="8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2.75" customHeight="1">
      <c r="A110" s="5"/>
      <c r="B110" s="5"/>
      <c r="C110" s="8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2.75" customHeight="1">
      <c r="A111" s="5"/>
      <c r="B111" s="5"/>
      <c r="C111" s="8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2.75" customHeight="1">
      <c r="A112" s="5"/>
      <c r="B112" s="5"/>
      <c r="C112" s="8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2.75" customHeight="1">
      <c r="A113" s="5"/>
      <c r="B113" s="5"/>
      <c r="C113" s="8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2.75" customHeight="1">
      <c r="A114" s="5"/>
      <c r="B114" s="5"/>
      <c r="C114" s="8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2.75" customHeight="1">
      <c r="A115" s="5"/>
      <c r="B115" s="5"/>
      <c r="C115" s="8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2.75" customHeight="1">
      <c r="A116" s="5"/>
      <c r="B116" s="5"/>
      <c r="C116" s="8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2.75" customHeight="1">
      <c r="A117" s="5"/>
      <c r="B117" s="5"/>
      <c r="C117" s="8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2.75" customHeight="1">
      <c r="A118" s="5"/>
      <c r="B118" s="5"/>
      <c r="C118" s="8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2.75" customHeight="1">
      <c r="A119" s="5"/>
      <c r="B119" s="5"/>
      <c r="C119" s="8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2.75" customHeight="1">
      <c r="A120" s="5"/>
      <c r="B120" s="5"/>
      <c r="C120" s="8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2.75" customHeight="1">
      <c r="A121" s="5"/>
      <c r="B121" s="5"/>
      <c r="C121" s="8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2.75" customHeight="1">
      <c r="A122" s="5"/>
      <c r="B122" s="5"/>
      <c r="C122" s="8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2.75" customHeight="1">
      <c r="A123" s="5"/>
      <c r="B123" s="5"/>
      <c r="C123" s="8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2.75" customHeight="1">
      <c r="A124" s="5"/>
      <c r="B124" s="5"/>
      <c r="C124" s="8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2.75" customHeight="1">
      <c r="A125" s="5"/>
      <c r="B125" s="5"/>
      <c r="C125" s="8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2.75" customHeight="1">
      <c r="A126" s="5"/>
      <c r="B126" s="5"/>
      <c r="C126" s="8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2.75" customHeight="1">
      <c r="A127" s="5"/>
      <c r="B127" s="5"/>
      <c r="C127" s="8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2.75" customHeight="1">
      <c r="A128" s="5"/>
      <c r="B128" s="5"/>
      <c r="C128" s="8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2.75" customHeight="1">
      <c r="A129" s="5"/>
      <c r="B129" s="5"/>
      <c r="C129" s="8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2.75" customHeight="1">
      <c r="A130" s="5"/>
      <c r="B130" s="5"/>
      <c r="C130" s="8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2.75" customHeight="1">
      <c r="A131" s="5"/>
      <c r="B131" s="5"/>
      <c r="C131" s="8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2.75" customHeight="1">
      <c r="A132" s="5"/>
      <c r="B132" s="5"/>
      <c r="C132" s="8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2.75" customHeight="1">
      <c r="A133" s="5"/>
      <c r="B133" s="5"/>
      <c r="C133" s="8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2.75" customHeight="1">
      <c r="A134" s="5"/>
      <c r="B134" s="5"/>
      <c r="C134" s="8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2.75" customHeight="1">
      <c r="A135" s="5"/>
      <c r="B135" s="5"/>
      <c r="C135" s="8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2.75" customHeight="1">
      <c r="A136" s="5"/>
      <c r="B136" s="5"/>
      <c r="C136" s="8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2.75" customHeight="1">
      <c r="A137" s="5"/>
      <c r="B137" s="5"/>
      <c r="C137" s="8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2.75" customHeight="1">
      <c r="A138" s="5"/>
      <c r="B138" s="5"/>
      <c r="C138" s="8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2.75" customHeight="1">
      <c r="A139" s="5"/>
      <c r="B139" s="5"/>
      <c r="C139" s="8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2.75" customHeight="1">
      <c r="A140" s="5"/>
      <c r="B140" s="5"/>
      <c r="C140" s="8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2.75" customHeight="1">
      <c r="A141" s="5"/>
      <c r="B141" s="5"/>
      <c r="C141" s="8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2.75" customHeight="1">
      <c r="A142" s="5"/>
      <c r="B142" s="5"/>
      <c r="C142" s="8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2.75" customHeight="1">
      <c r="A143" s="5"/>
      <c r="B143" s="5"/>
      <c r="C143" s="8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2.75" customHeight="1">
      <c r="A144" s="5"/>
      <c r="B144" s="5"/>
      <c r="C144" s="8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2.75" customHeight="1">
      <c r="A145" s="5"/>
      <c r="B145" s="5"/>
      <c r="C145" s="8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2.75" customHeight="1">
      <c r="A146" s="5"/>
      <c r="B146" s="5"/>
      <c r="C146" s="8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2.75" customHeight="1">
      <c r="A147" s="5"/>
      <c r="B147" s="5"/>
      <c r="C147" s="8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2.75" customHeight="1">
      <c r="A148" s="5"/>
      <c r="B148" s="5"/>
      <c r="C148" s="8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2.75" customHeight="1">
      <c r="A149" s="5"/>
      <c r="B149" s="5"/>
      <c r="C149" s="8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2.75" customHeight="1">
      <c r="A150" s="5"/>
      <c r="B150" s="5"/>
      <c r="C150" s="8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2.75" customHeight="1">
      <c r="A151" s="5"/>
      <c r="B151" s="5"/>
      <c r="C151" s="8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2.75" customHeight="1">
      <c r="A152" s="5"/>
      <c r="B152" s="5"/>
      <c r="C152" s="8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2.75" customHeight="1">
      <c r="A153" s="5"/>
      <c r="B153" s="5"/>
      <c r="C153" s="8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2.75" customHeight="1">
      <c r="A154" s="5"/>
      <c r="B154" s="5"/>
      <c r="C154" s="8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2.75" customHeight="1">
      <c r="A155" s="5"/>
      <c r="B155" s="5"/>
      <c r="C155" s="8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2.75" customHeight="1">
      <c r="A156" s="5"/>
      <c r="B156" s="5"/>
      <c r="C156" s="8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2.75" customHeight="1">
      <c r="A157" s="5"/>
      <c r="B157" s="5"/>
      <c r="C157" s="8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2.75" customHeight="1">
      <c r="A158" s="5"/>
      <c r="B158" s="5"/>
      <c r="C158" s="8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2.75" customHeight="1">
      <c r="A159" s="5"/>
      <c r="B159" s="5"/>
      <c r="C159" s="8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2.75" customHeight="1">
      <c r="A160" s="5"/>
      <c r="B160" s="5"/>
      <c r="C160" s="8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2.75" customHeight="1">
      <c r="A161" s="5"/>
      <c r="B161" s="5"/>
      <c r="C161" s="8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2.75" customHeight="1">
      <c r="A162" s="5"/>
      <c r="B162" s="5"/>
      <c r="C162" s="8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2.75" customHeight="1">
      <c r="A163" s="5"/>
      <c r="B163" s="5"/>
      <c r="C163" s="8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2.75" customHeight="1">
      <c r="A164" s="5"/>
      <c r="B164" s="5"/>
      <c r="C164" s="8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2.75" customHeight="1">
      <c r="A165" s="5"/>
      <c r="B165" s="5"/>
      <c r="C165" s="8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2.75" customHeight="1">
      <c r="A166" s="5"/>
      <c r="B166" s="5"/>
      <c r="C166" s="8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2.75" customHeight="1">
      <c r="A167" s="5"/>
      <c r="B167" s="5"/>
      <c r="C167" s="8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2.75" customHeight="1">
      <c r="A168" s="5"/>
      <c r="B168" s="5"/>
      <c r="C168" s="8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2.75" customHeight="1">
      <c r="A169" s="5"/>
      <c r="B169" s="5"/>
      <c r="C169" s="8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2.75" customHeight="1">
      <c r="A170" s="5"/>
      <c r="B170" s="5"/>
      <c r="C170" s="8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2.75" customHeight="1">
      <c r="A171" s="5"/>
      <c r="B171" s="5"/>
      <c r="C171" s="8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2.75" customHeight="1">
      <c r="A172" s="5"/>
      <c r="B172" s="5"/>
      <c r="C172" s="8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2.75" customHeight="1">
      <c r="A173" s="5"/>
      <c r="B173" s="5"/>
      <c r="C173" s="8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2.75" customHeight="1">
      <c r="A174" s="5"/>
      <c r="B174" s="5"/>
      <c r="C174" s="8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2.75" customHeight="1">
      <c r="A175" s="5"/>
      <c r="B175" s="5"/>
      <c r="C175" s="8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2.75" customHeight="1">
      <c r="A176" s="5"/>
      <c r="B176" s="5"/>
      <c r="C176" s="8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2.75" customHeight="1">
      <c r="A177" s="5"/>
      <c r="B177" s="5"/>
      <c r="C177" s="8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2.75" customHeight="1">
      <c r="A178" s="5"/>
      <c r="B178" s="5"/>
      <c r="C178" s="8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2.75" customHeight="1">
      <c r="A179" s="5"/>
      <c r="B179" s="5"/>
      <c r="C179" s="8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2.75" customHeight="1">
      <c r="A180" s="5"/>
      <c r="B180" s="5"/>
      <c r="C180" s="8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2.75" customHeight="1">
      <c r="A181" s="5"/>
      <c r="B181" s="5"/>
      <c r="C181" s="8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2.75" customHeight="1">
      <c r="A182" s="5"/>
      <c r="B182" s="5"/>
      <c r="C182" s="8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2.75" customHeight="1">
      <c r="A183" s="5"/>
      <c r="B183" s="5"/>
      <c r="C183" s="8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2.75" customHeight="1">
      <c r="A184" s="5"/>
      <c r="B184" s="5"/>
      <c r="C184" s="8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2.75" customHeight="1">
      <c r="A185" s="5"/>
      <c r="B185" s="5"/>
      <c r="C185" s="8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2.75" customHeight="1">
      <c r="A186" s="5"/>
      <c r="B186" s="5"/>
      <c r="C186" s="8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2.75" customHeight="1">
      <c r="A187" s="5"/>
      <c r="B187" s="5"/>
      <c r="C187" s="8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2.75" customHeight="1">
      <c r="A188" s="5"/>
      <c r="B188" s="5"/>
      <c r="C188" s="8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2.75" customHeight="1">
      <c r="A189" s="5"/>
      <c r="B189" s="5"/>
      <c r="C189" s="8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2.75" customHeight="1">
      <c r="A190" s="5"/>
      <c r="B190" s="5"/>
      <c r="C190" s="8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2.75" customHeight="1">
      <c r="A191" s="5"/>
      <c r="B191" s="5"/>
      <c r="C191" s="8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2.75" customHeight="1">
      <c r="A192" s="5"/>
      <c r="B192" s="5"/>
      <c r="C192" s="8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2.75" customHeight="1">
      <c r="A193" s="5"/>
      <c r="B193" s="5"/>
      <c r="C193" s="8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2.75" customHeight="1">
      <c r="A194" s="5"/>
      <c r="B194" s="5"/>
      <c r="C194" s="8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2.75" customHeight="1">
      <c r="A195" s="5"/>
      <c r="B195" s="5"/>
      <c r="C195" s="8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2.75" customHeight="1">
      <c r="A196" s="5"/>
      <c r="B196" s="5"/>
      <c r="C196" s="8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2.75" customHeight="1">
      <c r="A197" s="5"/>
      <c r="B197" s="5"/>
      <c r="C197" s="8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2.75" customHeight="1">
      <c r="A198" s="5"/>
      <c r="B198" s="5"/>
      <c r="C198" s="8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2.75" customHeight="1">
      <c r="A199" s="5"/>
      <c r="B199" s="5"/>
      <c r="C199" s="8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2.75" customHeight="1">
      <c r="A200" s="5"/>
      <c r="B200" s="5"/>
      <c r="C200" s="8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2.75" customHeight="1">
      <c r="A201" s="5"/>
      <c r="B201" s="5"/>
      <c r="C201" s="8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2.75" customHeight="1">
      <c r="A202" s="5"/>
      <c r="B202" s="5"/>
      <c r="C202" s="8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2.75" customHeight="1">
      <c r="A203" s="5"/>
      <c r="B203" s="5"/>
      <c r="C203" s="8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2.75" customHeight="1">
      <c r="A204" s="5"/>
      <c r="B204" s="5"/>
      <c r="C204" s="8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2.75" customHeight="1">
      <c r="A205" s="5"/>
      <c r="B205" s="5"/>
      <c r="C205" s="8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2.75" customHeight="1">
      <c r="A206" s="5"/>
      <c r="B206" s="5"/>
      <c r="C206" s="8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2.75" customHeight="1">
      <c r="A207" s="5"/>
      <c r="B207" s="5"/>
      <c r="C207" s="8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2.75" customHeight="1">
      <c r="A208" s="5"/>
      <c r="B208" s="5"/>
      <c r="C208" s="8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2.75" customHeight="1">
      <c r="A209" s="5"/>
      <c r="B209" s="5"/>
      <c r="C209" s="8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2.75" customHeight="1">
      <c r="A210" s="5"/>
      <c r="B210" s="5"/>
      <c r="C210" s="8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2.75" customHeight="1">
      <c r="A211" s="5"/>
      <c r="B211" s="5"/>
      <c r="C211" s="8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2.75" customHeight="1">
      <c r="A212" s="5"/>
      <c r="B212" s="5"/>
      <c r="C212" s="8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2.75" customHeight="1">
      <c r="A213" s="5"/>
      <c r="B213" s="5"/>
      <c r="C213" s="8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2.75" customHeight="1">
      <c r="A214" s="5"/>
      <c r="B214" s="5"/>
      <c r="C214" s="8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2.75" customHeight="1">
      <c r="A215" s="5"/>
      <c r="B215" s="5"/>
      <c r="C215" s="8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2.75" customHeight="1">
      <c r="A216" s="5"/>
      <c r="B216" s="5"/>
      <c r="C216" s="8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2.75" customHeight="1">
      <c r="A217" s="5"/>
      <c r="B217" s="5"/>
      <c r="C217" s="8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2.75" customHeight="1">
      <c r="A218" s="5"/>
      <c r="B218" s="5"/>
      <c r="C218" s="8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2.75" customHeight="1">
      <c r="A219" s="5"/>
      <c r="B219" s="5"/>
      <c r="C219" s="8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2.75" customHeight="1">
      <c r="A220" s="5"/>
      <c r="B220" s="5"/>
      <c r="C220" s="8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2.75" customHeight="1">
      <c r="A221" s="5"/>
      <c r="B221" s="5"/>
      <c r="C221" s="8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12.75" customHeight="1">
      <c r="A222" s="5"/>
      <c r="B222" s="5"/>
      <c r="C222" s="8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12.75" customHeight="1">
      <c r="A223" s="5"/>
      <c r="B223" s="5"/>
      <c r="C223" s="8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12.75" customHeight="1">
      <c r="A224" s="5"/>
      <c r="B224" s="5"/>
      <c r="C224" s="8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12.75" customHeight="1">
      <c r="A225" s="5"/>
      <c r="B225" s="5"/>
      <c r="C225" s="8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12.75" customHeight="1">
      <c r="A226" s="5"/>
      <c r="B226" s="5"/>
      <c r="C226" s="8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12.75" customHeight="1">
      <c r="A227" s="5"/>
      <c r="B227" s="5"/>
      <c r="C227" s="8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12.75" customHeight="1">
      <c r="A228" s="5"/>
      <c r="B228" s="5"/>
      <c r="C228" s="8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12.75" customHeight="1">
      <c r="A229" s="5"/>
      <c r="B229" s="5"/>
      <c r="C229" s="8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12.75" customHeight="1">
      <c r="A230" s="5"/>
      <c r="B230" s="5"/>
      <c r="C230" s="8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12.75" customHeight="1">
      <c r="A231" s="5"/>
      <c r="B231" s="5"/>
      <c r="C231" s="8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12.75" customHeight="1">
      <c r="A232" s="5"/>
      <c r="B232" s="5"/>
      <c r="C232" s="8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2.75" customHeight="1">
      <c r="A233" s="5"/>
      <c r="B233" s="5"/>
      <c r="C233" s="8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12.75" customHeight="1">
      <c r="A234" s="5"/>
      <c r="B234" s="5"/>
      <c r="C234" s="8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12.75" customHeight="1">
      <c r="A235" s="5"/>
      <c r="B235" s="5"/>
      <c r="C235" s="8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12.75" customHeight="1">
      <c r="A236" s="5"/>
      <c r="B236" s="5"/>
      <c r="C236" s="8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12.75" customHeight="1">
      <c r="A237" s="5"/>
      <c r="B237" s="5"/>
      <c r="C237" s="8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12.75" customHeight="1">
      <c r="A238" s="5"/>
      <c r="B238" s="5"/>
      <c r="C238" s="8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12.75" customHeight="1">
      <c r="A239" s="5"/>
      <c r="B239" s="5"/>
      <c r="C239" s="8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ht="12.75" customHeight="1">
      <c r="A240" s="5"/>
      <c r="B240" s="5"/>
      <c r="C240" s="8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ht="12.75" customHeight="1">
      <c r="A241" s="5"/>
      <c r="B241" s="5"/>
      <c r="C241" s="8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ht="12.75" customHeight="1">
      <c r="A242" s="5"/>
      <c r="B242" s="5"/>
      <c r="C242" s="8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ht="12.75" customHeight="1">
      <c r="A243" s="5"/>
      <c r="B243" s="5"/>
      <c r="C243" s="8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ht="12.75" customHeight="1">
      <c r="A244" s="5"/>
      <c r="B244" s="5"/>
      <c r="C244" s="8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ht="12.75" customHeight="1">
      <c r="A245" s="5"/>
      <c r="B245" s="5"/>
      <c r="C245" s="8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ht="12.75" customHeight="1">
      <c r="A246" s="5"/>
      <c r="B246" s="5"/>
      <c r="C246" s="8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12.75" customHeight="1">
      <c r="A247" s="5"/>
      <c r="B247" s="5"/>
      <c r="C247" s="8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ht="12.75" customHeight="1">
      <c r="A248" s="5"/>
      <c r="B248" s="5"/>
      <c r="C248" s="8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ht="12.75" customHeight="1">
      <c r="A249" s="5"/>
      <c r="B249" s="5"/>
      <c r="C249" s="8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ht="12.75" customHeight="1">
      <c r="A250" s="5"/>
      <c r="B250" s="5"/>
      <c r="C250" s="8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ht="12.75" customHeight="1">
      <c r="A251" s="5"/>
      <c r="B251" s="5"/>
      <c r="C251" s="8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ht="12.75" customHeight="1">
      <c r="A252" s="5"/>
      <c r="B252" s="5"/>
      <c r="C252" s="8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ht="12.75" customHeight="1">
      <c r="A253" s="5"/>
      <c r="B253" s="5"/>
      <c r="C253" s="8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ht="12.75" customHeight="1">
      <c r="A254" s="5"/>
      <c r="B254" s="5"/>
      <c r="C254" s="8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ht="12.75" customHeight="1">
      <c r="A255" s="5"/>
      <c r="B255" s="5"/>
      <c r="C255" s="8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ht="12.75" customHeight="1">
      <c r="A256" s="5"/>
      <c r="B256" s="5"/>
      <c r="C256" s="8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ht="12.75" customHeight="1">
      <c r="A257" s="5"/>
      <c r="B257" s="5"/>
      <c r="C257" s="8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ht="12.75" customHeight="1">
      <c r="A258" s="5"/>
      <c r="B258" s="5"/>
      <c r="C258" s="8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ht="12.75" customHeight="1">
      <c r="A259" s="5"/>
      <c r="B259" s="5"/>
      <c r="C259" s="8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ht="12.75" customHeight="1">
      <c r="A260" s="5"/>
      <c r="B260" s="5"/>
      <c r="C260" s="8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12.75" customHeight="1">
      <c r="A261" s="5"/>
      <c r="B261" s="5"/>
      <c r="C261" s="8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ht="12.75" customHeight="1">
      <c r="A262" s="5"/>
      <c r="B262" s="5"/>
      <c r="C262" s="8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ht="12.75" customHeight="1">
      <c r="A263" s="5"/>
      <c r="B263" s="5"/>
      <c r="C263" s="8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ht="12.75" customHeight="1">
      <c r="A264" s="5"/>
      <c r="B264" s="5"/>
      <c r="C264" s="8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ht="12.75" customHeight="1">
      <c r="A265" s="5"/>
      <c r="B265" s="5"/>
      <c r="C265" s="8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ht="12.75" customHeight="1">
      <c r="A266" s="5"/>
      <c r="B266" s="5"/>
      <c r="C266" s="8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ht="12.75" customHeight="1">
      <c r="A267" s="5"/>
      <c r="B267" s="5"/>
      <c r="C267" s="8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ht="12.75" customHeight="1">
      <c r="A268" s="5"/>
      <c r="B268" s="5"/>
      <c r="C268" s="8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ht="12.75" customHeight="1">
      <c r="A269" s="5"/>
      <c r="B269" s="5"/>
      <c r="C269" s="8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ht="12.75" customHeight="1">
      <c r="A270" s="5"/>
      <c r="B270" s="5"/>
      <c r="C270" s="8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ht="12.75" customHeight="1">
      <c r="A271" s="5"/>
      <c r="B271" s="5"/>
      <c r="C271" s="8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ht="12.75" customHeight="1">
      <c r="A272" s="5"/>
      <c r="B272" s="5"/>
      <c r="C272" s="8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ht="12.75" customHeight="1">
      <c r="A273" s="5"/>
      <c r="B273" s="5"/>
      <c r="C273" s="8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ht="12.75" customHeight="1">
      <c r="A274" s="5"/>
      <c r="B274" s="5"/>
      <c r="C274" s="8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12.75" customHeight="1">
      <c r="A275" s="5"/>
      <c r="B275" s="5"/>
      <c r="C275" s="8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ht="12.75" customHeight="1">
      <c r="A276" s="5"/>
      <c r="B276" s="5"/>
      <c r="C276" s="8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ht="12.75" customHeight="1">
      <c r="A277" s="5"/>
      <c r="B277" s="5"/>
      <c r="C277" s="8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ht="12.75" customHeight="1">
      <c r="A278" s="5"/>
      <c r="B278" s="5"/>
      <c r="C278" s="8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ht="12.75" customHeight="1">
      <c r="A279" s="5"/>
      <c r="B279" s="5"/>
      <c r="C279" s="8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ht="12.75" customHeight="1">
      <c r="A280" s="5"/>
      <c r="B280" s="5"/>
      <c r="C280" s="8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ht="12.75" customHeight="1">
      <c r="A281" s="5"/>
      <c r="B281" s="5"/>
      <c r="C281" s="8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ht="12.75" customHeight="1">
      <c r="A282" s="5"/>
      <c r="B282" s="5"/>
      <c r="C282" s="8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ht="12.75" customHeight="1">
      <c r="A283" s="5"/>
      <c r="B283" s="5"/>
      <c r="C283" s="8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ht="12.75" customHeight="1">
      <c r="A284" s="5"/>
      <c r="B284" s="5"/>
      <c r="C284" s="8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ht="12.75" customHeight="1">
      <c r="A285" s="5"/>
      <c r="B285" s="5"/>
      <c r="C285" s="8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ht="12.75" customHeight="1">
      <c r="A286" s="5"/>
      <c r="B286" s="5"/>
      <c r="C286" s="8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ht="12.75" customHeight="1">
      <c r="A287" s="5"/>
      <c r="B287" s="5"/>
      <c r="C287" s="8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ht="12.75" customHeight="1">
      <c r="A288" s="5"/>
      <c r="B288" s="5"/>
      <c r="C288" s="8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12.75" customHeight="1">
      <c r="A289" s="5"/>
      <c r="B289" s="5"/>
      <c r="C289" s="8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ht="12.75" customHeight="1">
      <c r="A290" s="5"/>
      <c r="B290" s="5"/>
      <c r="C290" s="8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ht="12.75" customHeight="1">
      <c r="A291" s="5"/>
      <c r="B291" s="5"/>
      <c r="C291" s="8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ht="12.75" customHeight="1">
      <c r="A292" s="5"/>
      <c r="B292" s="5"/>
      <c r="C292" s="8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ht="12.75" customHeight="1">
      <c r="A293" s="5"/>
      <c r="B293" s="5"/>
      <c r="C293" s="8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ht="12.75" customHeight="1">
      <c r="A294" s="5"/>
      <c r="B294" s="5"/>
      <c r="C294" s="8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ht="12.75" customHeight="1">
      <c r="A295" s="5"/>
      <c r="B295" s="5"/>
      <c r="C295" s="8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ht="12.75" customHeight="1">
      <c r="A296" s="5"/>
      <c r="B296" s="5"/>
      <c r="C296" s="8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ht="12.75" customHeight="1">
      <c r="A297" s="5"/>
      <c r="B297" s="5"/>
      <c r="C297" s="8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ht="12.75" customHeight="1">
      <c r="A298" s="5"/>
      <c r="B298" s="5"/>
      <c r="C298" s="8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ht="12.75" customHeight="1">
      <c r="A299" s="5"/>
      <c r="B299" s="5"/>
      <c r="C299" s="8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ht="12.75" customHeight="1">
      <c r="A300" s="5"/>
      <c r="B300" s="5"/>
      <c r="C300" s="8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ht="12.75" customHeight="1">
      <c r="A301" s="5"/>
      <c r="B301" s="5"/>
      <c r="C301" s="8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ht="12.75" customHeight="1">
      <c r="A302" s="5"/>
      <c r="B302" s="5"/>
      <c r="C302" s="8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12.75" customHeight="1">
      <c r="A303" s="5"/>
      <c r="B303" s="5"/>
      <c r="C303" s="8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ht="12.75" customHeight="1">
      <c r="A304" s="5"/>
      <c r="B304" s="5"/>
      <c r="C304" s="8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ht="12.75" customHeight="1">
      <c r="A305" s="5"/>
      <c r="B305" s="5"/>
      <c r="C305" s="8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ht="12.75" customHeight="1">
      <c r="A306" s="5"/>
      <c r="B306" s="5"/>
      <c r="C306" s="8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ht="12.75" customHeight="1">
      <c r="A307" s="5"/>
      <c r="B307" s="5"/>
      <c r="C307" s="8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ht="12.75" customHeight="1">
      <c r="A308" s="5"/>
      <c r="B308" s="5"/>
      <c r="C308" s="8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ht="12.75" customHeight="1">
      <c r="A309" s="5"/>
      <c r="B309" s="5"/>
      <c r="C309" s="8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ht="12.75" customHeight="1">
      <c r="A310" s="5"/>
      <c r="B310" s="5"/>
      <c r="C310" s="8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ht="12.75" customHeight="1">
      <c r="A311" s="5"/>
      <c r="B311" s="5"/>
      <c r="C311" s="8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ht="12.75" customHeight="1">
      <c r="A312" s="5"/>
      <c r="B312" s="5"/>
      <c r="C312" s="8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ht="12.75" customHeight="1">
      <c r="A313" s="5"/>
      <c r="B313" s="5"/>
      <c r="C313" s="8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ht="12.75" customHeight="1">
      <c r="A314" s="5"/>
      <c r="B314" s="5"/>
      <c r="C314" s="8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ht="12.75" customHeight="1">
      <c r="A315" s="5"/>
      <c r="B315" s="5"/>
      <c r="C315" s="8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ht="12.75" customHeight="1">
      <c r="A316" s="5"/>
      <c r="B316" s="5"/>
      <c r="C316" s="8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ht="12.75" customHeight="1">
      <c r="A317" s="5"/>
      <c r="B317" s="5"/>
      <c r="C317" s="8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ht="12.75" customHeight="1">
      <c r="A318" s="5"/>
      <c r="B318" s="5"/>
      <c r="C318" s="8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ht="12.75" customHeight="1">
      <c r="A319" s="5"/>
      <c r="B319" s="5"/>
      <c r="C319" s="8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ht="12.75" customHeight="1">
      <c r="A320" s="5"/>
      <c r="B320" s="5"/>
      <c r="C320" s="8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ht="12.75" customHeight="1">
      <c r="A321" s="5"/>
      <c r="B321" s="5"/>
      <c r="C321" s="8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ht="12.75" customHeight="1">
      <c r="A322" s="5"/>
      <c r="B322" s="5"/>
      <c r="C322" s="8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ht="12.75" customHeight="1">
      <c r="A323" s="5"/>
      <c r="B323" s="5"/>
      <c r="C323" s="8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ht="12.75" customHeight="1">
      <c r="A324" s="5"/>
      <c r="B324" s="5"/>
      <c r="C324" s="8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ht="12.75" customHeight="1">
      <c r="A325" s="5"/>
      <c r="B325" s="5"/>
      <c r="C325" s="8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ht="12.75" customHeight="1">
      <c r="A326" s="5"/>
      <c r="B326" s="5"/>
      <c r="C326" s="8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ht="12.75" customHeight="1">
      <c r="A327" s="5"/>
      <c r="B327" s="5"/>
      <c r="C327" s="8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ht="12.75" customHeight="1">
      <c r="A328" s="5"/>
      <c r="B328" s="5"/>
      <c r="C328" s="8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ht="12.75" customHeight="1">
      <c r="A329" s="5"/>
      <c r="B329" s="5"/>
      <c r="C329" s="8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ht="12.75" customHeight="1">
      <c r="A330" s="5"/>
      <c r="B330" s="5"/>
      <c r="C330" s="8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ht="12.75" customHeight="1">
      <c r="A331" s="5"/>
      <c r="B331" s="5"/>
      <c r="C331" s="8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ht="12.75" customHeight="1">
      <c r="A332" s="5"/>
      <c r="B332" s="5"/>
      <c r="C332" s="8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ht="12.75" customHeight="1">
      <c r="A333" s="5"/>
      <c r="B333" s="5"/>
      <c r="C333" s="8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ht="12.75" customHeight="1">
      <c r="A334" s="5"/>
      <c r="B334" s="5"/>
      <c r="C334" s="8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ht="12.75" customHeight="1">
      <c r="A335" s="5"/>
      <c r="B335" s="5"/>
      <c r="C335" s="8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ht="12.75" customHeight="1">
      <c r="A336" s="5"/>
      <c r="B336" s="5"/>
      <c r="C336" s="8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ht="12.75" customHeight="1">
      <c r="A337" s="5"/>
      <c r="B337" s="5"/>
      <c r="C337" s="8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ht="12.75" customHeight="1">
      <c r="A338" s="5"/>
      <c r="B338" s="5"/>
      <c r="C338" s="8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ht="12.75" customHeight="1">
      <c r="A339" s="5"/>
      <c r="B339" s="5"/>
      <c r="C339" s="8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ht="12.75" customHeight="1">
      <c r="A340" s="5"/>
      <c r="B340" s="5"/>
      <c r="C340" s="8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ht="12.75" customHeight="1">
      <c r="A341" s="5"/>
      <c r="B341" s="5"/>
      <c r="C341" s="8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ht="12.75" customHeight="1">
      <c r="A342" s="5"/>
      <c r="B342" s="5"/>
      <c r="C342" s="8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ht="12.75" customHeight="1">
      <c r="A343" s="5"/>
      <c r="B343" s="5"/>
      <c r="C343" s="8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ht="12.75" customHeight="1">
      <c r="A344" s="5"/>
      <c r="B344" s="5"/>
      <c r="C344" s="8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ht="12.75" customHeight="1">
      <c r="A345" s="5"/>
      <c r="B345" s="5"/>
      <c r="C345" s="8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ht="12.75" customHeight="1">
      <c r="A346" s="5"/>
      <c r="B346" s="5"/>
      <c r="C346" s="8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ht="12.75" customHeight="1">
      <c r="A347" s="5"/>
      <c r="B347" s="5"/>
      <c r="C347" s="8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ht="12.75" customHeight="1">
      <c r="A348" s="5"/>
      <c r="B348" s="5"/>
      <c r="C348" s="8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ht="12.75" customHeight="1">
      <c r="A349" s="5"/>
      <c r="B349" s="5"/>
      <c r="C349" s="8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ht="12.75" customHeight="1">
      <c r="A350" s="5"/>
      <c r="B350" s="5"/>
      <c r="C350" s="8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ht="12.75" customHeight="1">
      <c r="A351" s="5"/>
      <c r="B351" s="5"/>
      <c r="C351" s="8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ht="12.75" customHeight="1">
      <c r="A352" s="5"/>
      <c r="B352" s="5"/>
      <c r="C352" s="8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ht="12.75" customHeight="1">
      <c r="A353" s="5"/>
      <c r="B353" s="5"/>
      <c r="C353" s="8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ht="12.75" customHeight="1">
      <c r="A354" s="5"/>
      <c r="B354" s="5"/>
      <c r="C354" s="8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ht="12.75" customHeight="1">
      <c r="A355" s="5"/>
      <c r="B355" s="5"/>
      <c r="C355" s="8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ht="12.75" customHeight="1">
      <c r="A356" s="5"/>
      <c r="B356" s="5"/>
      <c r="C356" s="8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ht="12.75" customHeight="1">
      <c r="A357" s="5"/>
      <c r="B357" s="5"/>
      <c r="C357" s="8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ht="12.75" customHeight="1">
      <c r="A358" s="5"/>
      <c r="B358" s="5"/>
      <c r="C358" s="8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ht="12.75" customHeight="1">
      <c r="A359" s="5"/>
      <c r="B359" s="5"/>
      <c r="C359" s="8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ht="12.75" customHeight="1">
      <c r="A360" s="5"/>
      <c r="B360" s="5"/>
      <c r="C360" s="8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ht="12.75" customHeight="1">
      <c r="A361" s="5"/>
      <c r="B361" s="5"/>
      <c r="C361" s="8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ht="12.75" customHeight="1">
      <c r="A362" s="5"/>
      <c r="B362" s="5"/>
      <c r="C362" s="8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ht="12.75" customHeight="1">
      <c r="A363" s="5"/>
      <c r="B363" s="5"/>
      <c r="C363" s="8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ht="12.75" customHeight="1">
      <c r="A364" s="5"/>
      <c r="B364" s="5"/>
      <c r="C364" s="8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ht="12.75" customHeight="1">
      <c r="A365" s="5"/>
      <c r="B365" s="5"/>
      <c r="C365" s="8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ht="12.75" customHeight="1">
      <c r="A366" s="5"/>
      <c r="B366" s="5"/>
      <c r="C366" s="8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ht="12.75" customHeight="1">
      <c r="A367" s="5"/>
      <c r="B367" s="5"/>
      <c r="C367" s="8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ht="12.75" customHeight="1">
      <c r="A368" s="5"/>
      <c r="B368" s="5"/>
      <c r="C368" s="8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ht="12.75" customHeight="1">
      <c r="A369" s="5"/>
      <c r="B369" s="5"/>
      <c r="C369" s="8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ht="12.75" customHeight="1">
      <c r="A370" s="5"/>
      <c r="B370" s="5"/>
      <c r="C370" s="8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ht="12.75" customHeight="1">
      <c r="A371" s="5"/>
      <c r="B371" s="5"/>
      <c r="C371" s="8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ht="12.75" customHeight="1">
      <c r="A372" s="5"/>
      <c r="B372" s="5"/>
      <c r="C372" s="8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ht="12.75" customHeight="1">
      <c r="A373" s="5"/>
      <c r="B373" s="5"/>
      <c r="C373" s="8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ht="12.75" customHeight="1">
      <c r="A374" s="5"/>
      <c r="B374" s="5"/>
      <c r="C374" s="8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ht="12.75" customHeight="1">
      <c r="A375" s="5"/>
      <c r="B375" s="5"/>
      <c r="C375" s="8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ht="12.75" customHeight="1">
      <c r="A376" s="5"/>
      <c r="B376" s="5"/>
      <c r="C376" s="8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ht="12.75" customHeight="1">
      <c r="A377" s="5"/>
      <c r="B377" s="5"/>
      <c r="C377" s="8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ht="12.75" customHeight="1">
      <c r="A378" s="5"/>
      <c r="B378" s="5"/>
      <c r="C378" s="8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ht="12.75" customHeight="1">
      <c r="A379" s="5"/>
      <c r="B379" s="5"/>
      <c r="C379" s="8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ht="12.75" customHeight="1">
      <c r="A380" s="5"/>
      <c r="B380" s="5"/>
      <c r="C380" s="8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ht="12.75" customHeight="1">
      <c r="A381" s="5"/>
      <c r="B381" s="5"/>
      <c r="C381" s="8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ht="12.75" customHeight="1">
      <c r="A382" s="5"/>
      <c r="B382" s="5"/>
      <c r="C382" s="8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ht="12.75" customHeight="1">
      <c r="A383" s="5"/>
      <c r="B383" s="5"/>
      <c r="C383" s="8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ht="12.75" customHeight="1">
      <c r="A384" s="5"/>
      <c r="B384" s="5"/>
      <c r="C384" s="8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ht="12.75" customHeight="1">
      <c r="A385" s="5"/>
      <c r="B385" s="5"/>
      <c r="C385" s="8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ht="12.75" customHeight="1">
      <c r="A386" s="5"/>
      <c r="B386" s="5"/>
      <c r="C386" s="8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ht="12.75" customHeight="1">
      <c r="A387" s="5"/>
      <c r="B387" s="5"/>
      <c r="C387" s="8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ht="12.75" customHeight="1">
      <c r="A388" s="5"/>
      <c r="B388" s="5"/>
      <c r="C388" s="8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ht="12.75" customHeight="1">
      <c r="A389" s="5"/>
      <c r="B389" s="5"/>
      <c r="C389" s="8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ht="12.75" customHeight="1">
      <c r="A390" s="5"/>
      <c r="B390" s="5"/>
      <c r="C390" s="8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ht="12.75" customHeight="1">
      <c r="A391" s="5"/>
      <c r="B391" s="5"/>
      <c r="C391" s="8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ht="12.75" customHeight="1">
      <c r="A392" s="5"/>
      <c r="B392" s="5"/>
      <c r="C392" s="8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ht="12.75" customHeight="1">
      <c r="A393" s="5"/>
      <c r="B393" s="5"/>
      <c r="C393" s="8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ht="12.75" customHeight="1">
      <c r="A394" s="5"/>
      <c r="B394" s="5"/>
      <c r="C394" s="8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ht="12.75" customHeight="1">
      <c r="A395" s="5"/>
      <c r="B395" s="5"/>
      <c r="C395" s="8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ht="12.75" customHeight="1">
      <c r="A396" s="5"/>
      <c r="B396" s="5"/>
      <c r="C396" s="8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ht="12.75" customHeight="1">
      <c r="A397" s="5"/>
      <c r="B397" s="5"/>
      <c r="C397" s="8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ht="12.75" customHeight="1">
      <c r="A398" s="5"/>
      <c r="B398" s="5"/>
      <c r="C398" s="8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ht="12.75" customHeight="1">
      <c r="A399" s="5"/>
      <c r="B399" s="5"/>
      <c r="C399" s="8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ht="12.75" customHeight="1">
      <c r="A400" s="5"/>
      <c r="B400" s="5"/>
      <c r="C400" s="8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ht="12.75" customHeight="1">
      <c r="A401" s="5"/>
      <c r="B401" s="5"/>
      <c r="C401" s="8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ht="12.75" customHeight="1">
      <c r="A402" s="5"/>
      <c r="B402" s="5"/>
      <c r="C402" s="8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ht="12.75" customHeight="1">
      <c r="A403" s="5"/>
      <c r="B403" s="5"/>
      <c r="C403" s="8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ht="12.75" customHeight="1">
      <c r="A404" s="5"/>
      <c r="B404" s="5"/>
      <c r="C404" s="8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ht="12.75" customHeight="1">
      <c r="A405" s="5"/>
      <c r="B405" s="5"/>
      <c r="C405" s="8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ht="12.75" customHeight="1">
      <c r="A406" s="5"/>
      <c r="B406" s="5"/>
      <c r="C406" s="8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ht="12.75" customHeight="1">
      <c r="A407" s="5"/>
      <c r="B407" s="5"/>
      <c r="C407" s="8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ht="12.75" customHeight="1">
      <c r="A408" s="5"/>
      <c r="B408" s="5"/>
      <c r="C408" s="8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ht="12.75" customHeight="1">
      <c r="A409" s="5"/>
      <c r="B409" s="5"/>
      <c r="C409" s="8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ht="12.75" customHeight="1">
      <c r="A410" s="5"/>
      <c r="B410" s="5"/>
      <c r="C410" s="8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ht="12.75" customHeight="1">
      <c r="A411" s="5"/>
      <c r="B411" s="5"/>
      <c r="C411" s="8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ht="12.75" customHeight="1">
      <c r="A412" s="5"/>
      <c r="B412" s="5"/>
      <c r="C412" s="8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ht="12.75" customHeight="1">
      <c r="A413" s="5"/>
      <c r="B413" s="5"/>
      <c r="C413" s="8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ht="12.75" customHeight="1">
      <c r="A414" s="5"/>
      <c r="B414" s="5"/>
      <c r="C414" s="8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ht="12.75" customHeight="1">
      <c r="A415" s="5"/>
      <c r="B415" s="5"/>
      <c r="C415" s="8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ht="12.75" customHeight="1">
      <c r="A416" s="5"/>
      <c r="B416" s="5"/>
      <c r="C416" s="8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ht="12.75" customHeight="1">
      <c r="A417" s="5"/>
      <c r="B417" s="5"/>
      <c r="C417" s="8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ht="12.75" customHeight="1">
      <c r="A418" s="5"/>
      <c r="B418" s="5"/>
      <c r="C418" s="8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ht="12.75" customHeight="1">
      <c r="A419" s="5"/>
      <c r="B419" s="5"/>
      <c r="C419" s="8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ht="12.75" customHeight="1">
      <c r="A420" s="5"/>
      <c r="B420" s="5"/>
      <c r="C420" s="8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ht="12.75" customHeight="1">
      <c r="A421" s="5"/>
      <c r="B421" s="5"/>
      <c r="C421" s="8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ht="12.75" customHeight="1">
      <c r="A422" s="5"/>
      <c r="B422" s="5"/>
      <c r="C422" s="8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ht="12.75" customHeight="1">
      <c r="A423" s="5"/>
      <c r="B423" s="5"/>
      <c r="C423" s="8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ht="12.75" customHeight="1">
      <c r="A424" s="5"/>
      <c r="B424" s="5"/>
      <c r="C424" s="8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ht="12.75" customHeight="1">
      <c r="A425" s="5"/>
      <c r="B425" s="5"/>
      <c r="C425" s="8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ht="12.75" customHeight="1">
      <c r="A426" s="5"/>
      <c r="B426" s="5"/>
      <c r="C426" s="8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ht="12.75" customHeight="1">
      <c r="A427" s="5"/>
      <c r="B427" s="5"/>
      <c r="C427" s="8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ht="12.75" customHeight="1">
      <c r="A428" s="5"/>
      <c r="B428" s="5"/>
      <c r="C428" s="8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ht="12.75" customHeight="1">
      <c r="A429" s="5"/>
      <c r="B429" s="5"/>
      <c r="C429" s="8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ht="12.75" customHeight="1">
      <c r="A430" s="5"/>
      <c r="B430" s="5"/>
      <c r="C430" s="8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ht="12.75" customHeight="1">
      <c r="A431" s="5"/>
      <c r="B431" s="5"/>
      <c r="C431" s="8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ht="12.75" customHeight="1">
      <c r="A432" s="5"/>
      <c r="B432" s="5"/>
      <c r="C432" s="8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ht="12.75" customHeight="1">
      <c r="A433" s="5"/>
      <c r="B433" s="5"/>
      <c r="C433" s="8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ht="12.75" customHeight="1">
      <c r="A434" s="5"/>
      <c r="B434" s="5"/>
      <c r="C434" s="8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ht="12.75" customHeight="1">
      <c r="A435" s="5"/>
      <c r="B435" s="5"/>
      <c r="C435" s="8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ht="12.75" customHeight="1">
      <c r="A436" s="5"/>
      <c r="B436" s="5"/>
      <c r="C436" s="8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ht="12.75" customHeight="1">
      <c r="A437" s="5"/>
      <c r="B437" s="5"/>
      <c r="C437" s="8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ht="12.75" customHeight="1">
      <c r="A438" s="5"/>
      <c r="B438" s="5"/>
      <c r="C438" s="8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ht="12.75" customHeight="1">
      <c r="A439" s="5"/>
      <c r="B439" s="5"/>
      <c r="C439" s="8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ht="12.75" customHeight="1">
      <c r="A440" s="5"/>
      <c r="B440" s="5"/>
      <c r="C440" s="8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ht="12.75" customHeight="1">
      <c r="A441" s="5"/>
      <c r="B441" s="5"/>
      <c r="C441" s="8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ht="12.75" customHeight="1">
      <c r="A442" s="5"/>
      <c r="B442" s="5"/>
      <c r="C442" s="8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ht="12.75" customHeight="1">
      <c r="A443" s="5"/>
      <c r="B443" s="5"/>
      <c r="C443" s="8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ht="12.75" customHeight="1">
      <c r="A444" s="5"/>
      <c r="B444" s="5"/>
      <c r="C444" s="8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ht="12.75" customHeight="1">
      <c r="A445" s="5"/>
      <c r="B445" s="5"/>
      <c r="C445" s="8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ht="12.75" customHeight="1">
      <c r="A446" s="5"/>
      <c r="B446" s="5"/>
      <c r="C446" s="8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ht="12.75" customHeight="1">
      <c r="A447" s="5"/>
      <c r="B447" s="5"/>
      <c r="C447" s="8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ht="12.75" customHeight="1">
      <c r="A448" s="5"/>
      <c r="B448" s="5"/>
      <c r="C448" s="8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ht="12.75" customHeight="1">
      <c r="A449" s="5"/>
      <c r="B449" s="5"/>
      <c r="C449" s="8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ht="12.75" customHeight="1">
      <c r="A450" s="5"/>
      <c r="B450" s="5"/>
      <c r="C450" s="8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ht="12.75" customHeight="1">
      <c r="A451" s="5"/>
      <c r="B451" s="5"/>
      <c r="C451" s="8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ht="12.75" customHeight="1">
      <c r="A452" s="5"/>
      <c r="B452" s="5"/>
      <c r="C452" s="8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ht="12.75" customHeight="1">
      <c r="A453" s="5"/>
      <c r="B453" s="5"/>
      <c r="C453" s="8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ht="12.75" customHeight="1">
      <c r="A454" s="5"/>
      <c r="B454" s="5"/>
      <c r="C454" s="8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ht="12.75" customHeight="1">
      <c r="A455" s="5"/>
      <c r="B455" s="5"/>
      <c r="C455" s="8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ht="12.75" customHeight="1">
      <c r="A456" s="5"/>
      <c r="B456" s="5"/>
      <c r="C456" s="8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ht="12.75" customHeight="1">
      <c r="A457" s="5"/>
      <c r="B457" s="5"/>
      <c r="C457" s="8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ht="12.75" customHeight="1">
      <c r="A458" s="5"/>
      <c r="B458" s="5"/>
      <c r="C458" s="8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ht="12.75" customHeight="1">
      <c r="A459" s="5"/>
      <c r="B459" s="5"/>
      <c r="C459" s="8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ht="12.75" customHeight="1">
      <c r="A460" s="5"/>
      <c r="B460" s="5"/>
      <c r="C460" s="8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ht="12.75" customHeight="1">
      <c r="A461" s="5"/>
      <c r="B461" s="5"/>
      <c r="C461" s="8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ht="12.75" customHeight="1">
      <c r="A462" s="5"/>
      <c r="B462" s="5"/>
      <c r="C462" s="8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ht="12.75" customHeight="1">
      <c r="A463" s="5"/>
      <c r="B463" s="5"/>
      <c r="C463" s="8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ht="12.75" customHeight="1">
      <c r="A464" s="5"/>
      <c r="B464" s="5"/>
      <c r="C464" s="8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ht="12.75" customHeight="1">
      <c r="A465" s="5"/>
      <c r="B465" s="5"/>
      <c r="C465" s="8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ht="12.75" customHeight="1">
      <c r="A466" s="5"/>
      <c r="B466" s="5"/>
      <c r="C466" s="8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ht="12.75" customHeight="1">
      <c r="A467" s="5"/>
      <c r="B467" s="5"/>
      <c r="C467" s="8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ht="12.75" customHeight="1">
      <c r="A468" s="5"/>
      <c r="B468" s="5"/>
      <c r="C468" s="8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ht="12.75" customHeight="1">
      <c r="A469" s="5"/>
      <c r="B469" s="5"/>
      <c r="C469" s="8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ht="12.75" customHeight="1">
      <c r="A470" s="5"/>
      <c r="B470" s="5"/>
      <c r="C470" s="8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ht="12.75" customHeight="1">
      <c r="A471" s="5"/>
      <c r="B471" s="5"/>
      <c r="C471" s="8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ht="12.75" customHeight="1">
      <c r="A472" s="5"/>
      <c r="B472" s="5"/>
      <c r="C472" s="8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ht="12.75" customHeight="1">
      <c r="A473" s="5"/>
      <c r="B473" s="5"/>
      <c r="C473" s="8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ht="12.75" customHeight="1">
      <c r="A474" s="5"/>
      <c r="B474" s="5"/>
      <c r="C474" s="8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ht="12.75" customHeight="1">
      <c r="A475" s="5"/>
      <c r="B475" s="5"/>
      <c r="C475" s="8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ht="12.75" customHeight="1">
      <c r="A476" s="5"/>
      <c r="B476" s="5"/>
      <c r="C476" s="8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ht="12.75" customHeight="1">
      <c r="A477" s="5"/>
      <c r="B477" s="5"/>
      <c r="C477" s="8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ht="12.75" customHeight="1">
      <c r="A478" s="5"/>
      <c r="B478" s="5"/>
      <c r="C478" s="8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ht="12.75" customHeight="1">
      <c r="A479" s="5"/>
      <c r="B479" s="5"/>
      <c r="C479" s="8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ht="12.75" customHeight="1">
      <c r="A480" s="5"/>
      <c r="B480" s="5"/>
      <c r="C480" s="8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ht="12.75" customHeight="1">
      <c r="A481" s="5"/>
      <c r="B481" s="5"/>
      <c r="C481" s="8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ht="12.75" customHeight="1">
      <c r="A482" s="5"/>
      <c r="B482" s="5"/>
      <c r="C482" s="8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ht="12.75" customHeight="1">
      <c r="A483" s="5"/>
      <c r="B483" s="5"/>
      <c r="C483" s="8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ht="12.75" customHeight="1">
      <c r="A484" s="5"/>
      <c r="B484" s="5"/>
      <c r="C484" s="8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ht="12.75" customHeight="1">
      <c r="A485" s="5"/>
      <c r="B485" s="5"/>
      <c r="C485" s="8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ht="12.75" customHeight="1">
      <c r="A486" s="5"/>
      <c r="B486" s="5"/>
      <c r="C486" s="8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ht="12.75" customHeight="1">
      <c r="A487" s="5"/>
      <c r="B487" s="5"/>
      <c r="C487" s="8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ht="12.75" customHeight="1">
      <c r="A488" s="5"/>
      <c r="B488" s="5"/>
      <c r="C488" s="8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ht="12.75" customHeight="1">
      <c r="A489" s="5"/>
      <c r="B489" s="5"/>
      <c r="C489" s="8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ht="12.75" customHeight="1">
      <c r="A490" s="5"/>
      <c r="B490" s="5"/>
      <c r="C490" s="8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ht="12.75" customHeight="1">
      <c r="A491" s="5"/>
      <c r="B491" s="5"/>
      <c r="C491" s="8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ht="12.75" customHeight="1">
      <c r="A492" s="5"/>
      <c r="B492" s="5"/>
      <c r="C492" s="8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ht="12.75" customHeight="1">
      <c r="A493" s="5"/>
      <c r="B493" s="5"/>
      <c r="C493" s="8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ht="12.75" customHeight="1">
      <c r="A494" s="5"/>
      <c r="B494" s="5"/>
      <c r="C494" s="8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ht="12.75" customHeight="1">
      <c r="A495" s="5"/>
      <c r="B495" s="5"/>
      <c r="C495" s="8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ht="12.75" customHeight="1">
      <c r="A496" s="5"/>
      <c r="B496" s="5"/>
      <c r="C496" s="8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ht="12.75" customHeight="1">
      <c r="A497" s="5"/>
      <c r="B497" s="5"/>
      <c r="C497" s="8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ht="12.75" customHeight="1">
      <c r="A498" s="5"/>
      <c r="B498" s="5"/>
      <c r="C498" s="8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ht="12.75" customHeight="1">
      <c r="A499" s="5"/>
      <c r="B499" s="5"/>
      <c r="C499" s="8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ht="12.75" customHeight="1">
      <c r="A500" s="5"/>
      <c r="B500" s="5"/>
      <c r="C500" s="8"/>
      <c r="D500" s="5"/>
      <c r="E500" s="5"/>
      <c r="F500" s="5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ht="12.75" customHeight="1">
      <c r="A501" s="5"/>
      <c r="B501" s="5"/>
      <c r="C501" s="8"/>
      <c r="D501" s="5"/>
      <c r="E501" s="5"/>
      <c r="F501" s="5"/>
      <c r="G501" s="8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ht="12.75" customHeight="1">
      <c r="A502" s="5"/>
      <c r="B502" s="5"/>
      <c r="C502" s="8"/>
      <c r="D502" s="5"/>
      <c r="E502" s="5"/>
      <c r="F502" s="5"/>
      <c r="G502" s="8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ht="12.75" customHeight="1">
      <c r="A503" s="5"/>
      <c r="B503" s="5"/>
      <c r="C503" s="8"/>
      <c r="D503" s="5"/>
      <c r="E503" s="5"/>
      <c r="F503" s="5"/>
      <c r="G503" s="8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ht="12.75" customHeight="1">
      <c r="A504" s="5"/>
      <c r="B504" s="5"/>
      <c r="C504" s="8"/>
      <c r="D504" s="5"/>
      <c r="E504" s="5"/>
      <c r="F504" s="5"/>
      <c r="G504" s="8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ht="12.75" customHeight="1">
      <c r="A505" s="5"/>
      <c r="B505" s="5"/>
      <c r="C505" s="8"/>
      <c r="D505" s="5"/>
      <c r="E505" s="5"/>
      <c r="F505" s="5"/>
      <c r="G505" s="8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ht="12.75" customHeight="1">
      <c r="A506" s="5"/>
      <c r="B506" s="5"/>
      <c r="C506" s="8"/>
      <c r="D506" s="5"/>
      <c r="E506" s="5"/>
      <c r="F506" s="5"/>
      <c r="G506" s="8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ht="12.75" customHeight="1">
      <c r="A507" s="5"/>
      <c r="B507" s="5"/>
      <c r="C507" s="8"/>
      <c r="D507" s="5"/>
      <c r="E507" s="5"/>
      <c r="F507" s="5"/>
      <c r="G507" s="8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ht="12.75" customHeight="1">
      <c r="A508" s="5"/>
      <c r="B508" s="5"/>
      <c r="C508" s="8"/>
      <c r="D508" s="5"/>
      <c r="E508" s="5"/>
      <c r="F508" s="5"/>
      <c r="G508" s="8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ht="12.75" customHeight="1">
      <c r="A509" s="5"/>
      <c r="B509" s="5"/>
      <c r="C509" s="8"/>
      <c r="D509" s="5"/>
      <c r="E509" s="5"/>
      <c r="F509" s="5"/>
      <c r="G509" s="8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ht="12.75" customHeight="1">
      <c r="A510" s="5"/>
      <c r="B510" s="5"/>
      <c r="C510" s="8"/>
      <c r="D510" s="5"/>
      <c r="E510" s="5"/>
      <c r="F510" s="5"/>
      <c r="G510" s="8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ht="12.75" customHeight="1">
      <c r="A511" s="5"/>
      <c r="B511" s="5"/>
      <c r="C511" s="8"/>
      <c r="D511" s="5"/>
      <c r="E511" s="5"/>
      <c r="F511" s="5"/>
      <c r="G511" s="8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ht="12.75" customHeight="1">
      <c r="A512" s="5"/>
      <c r="B512" s="5"/>
      <c r="C512" s="8"/>
      <c r="D512" s="5"/>
      <c r="E512" s="5"/>
      <c r="F512" s="5"/>
      <c r="G512" s="8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ht="12.75" customHeight="1">
      <c r="A513" s="5"/>
      <c r="B513" s="5"/>
      <c r="C513" s="8"/>
      <c r="D513" s="5"/>
      <c r="E513" s="5"/>
      <c r="F513" s="5"/>
      <c r="G513" s="8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ht="12.75" customHeight="1">
      <c r="A514" s="5"/>
      <c r="B514" s="5"/>
      <c r="C514" s="8"/>
      <c r="D514" s="5"/>
      <c r="E514" s="5"/>
      <c r="F514" s="5"/>
      <c r="G514" s="8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ht="12.75" customHeight="1">
      <c r="A515" s="5"/>
      <c r="B515" s="5"/>
      <c r="C515" s="8"/>
      <c r="D515" s="5"/>
      <c r="E515" s="5"/>
      <c r="F515" s="5"/>
      <c r="G515" s="8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ht="12.75" customHeight="1">
      <c r="A516" s="5"/>
      <c r="B516" s="5"/>
      <c r="C516" s="8"/>
      <c r="D516" s="5"/>
      <c r="E516" s="5"/>
      <c r="F516" s="5"/>
      <c r="G516" s="8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ht="12.75" customHeight="1">
      <c r="A517" s="5"/>
      <c r="B517" s="5"/>
      <c r="C517" s="8"/>
      <c r="D517" s="5"/>
      <c r="E517" s="5"/>
      <c r="F517" s="5"/>
      <c r="G517" s="8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ht="12.75" customHeight="1">
      <c r="A518" s="5"/>
      <c r="B518" s="5"/>
      <c r="C518" s="8"/>
      <c r="D518" s="5"/>
      <c r="E518" s="5"/>
      <c r="F518" s="5"/>
      <c r="G518" s="8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ht="12.75" customHeight="1">
      <c r="A519" s="5"/>
      <c r="B519" s="5"/>
      <c r="C519" s="8"/>
      <c r="D519" s="5"/>
      <c r="E519" s="5"/>
      <c r="F519" s="5"/>
      <c r="G519" s="8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ht="12.75" customHeight="1">
      <c r="A520" s="5"/>
      <c r="B520" s="5"/>
      <c r="C520" s="8"/>
      <c r="D520" s="5"/>
      <c r="E520" s="5"/>
      <c r="F520" s="5"/>
      <c r="G520" s="8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ht="12.75" customHeight="1">
      <c r="A521" s="5"/>
      <c r="B521" s="5"/>
      <c r="C521" s="8"/>
      <c r="D521" s="5"/>
      <c r="E521" s="5"/>
      <c r="F521" s="5"/>
      <c r="G521" s="8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ht="12.75" customHeight="1">
      <c r="A522" s="5"/>
      <c r="B522" s="5"/>
      <c r="C522" s="8"/>
      <c r="D522" s="5"/>
      <c r="E522" s="5"/>
      <c r="F522" s="5"/>
      <c r="G522" s="8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ht="12.75" customHeight="1">
      <c r="A523" s="5"/>
      <c r="B523" s="5"/>
      <c r="C523" s="8"/>
      <c r="D523" s="5"/>
      <c r="E523" s="5"/>
      <c r="F523" s="5"/>
      <c r="G523" s="8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ht="12.75" customHeight="1">
      <c r="A524" s="5"/>
      <c r="B524" s="5"/>
      <c r="C524" s="8"/>
      <c r="D524" s="5"/>
      <c r="E524" s="5"/>
      <c r="F524" s="5"/>
      <c r="G524" s="8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ht="12.75" customHeight="1">
      <c r="A525" s="5"/>
      <c r="B525" s="5"/>
      <c r="C525" s="8"/>
      <c r="D525" s="5"/>
      <c r="E525" s="5"/>
      <c r="F525" s="5"/>
      <c r="G525" s="8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ht="12.75" customHeight="1">
      <c r="A526" s="5"/>
      <c r="B526" s="5"/>
      <c r="C526" s="8"/>
      <c r="D526" s="5"/>
      <c r="E526" s="5"/>
      <c r="F526" s="5"/>
      <c r="G526" s="8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ht="12.75" customHeight="1">
      <c r="A527" s="5"/>
      <c r="B527" s="5"/>
      <c r="C527" s="8"/>
      <c r="D527" s="5"/>
      <c r="E527" s="5"/>
      <c r="F527" s="5"/>
      <c r="G527" s="8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ht="12.75" customHeight="1">
      <c r="A528" s="5"/>
      <c r="B528" s="5"/>
      <c r="C528" s="8"/>
      <c r="D528" s="5"/>
      <c r="E528" s="5"/>
      <c r="F528" s="5"/>
      <c r="G528" s="8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ht="12.75" customHeight="1">
      <c r="A529" s="5"/>
      <c r="B529" s="5"/>
      <c r="C529" s="8"/>
      <c r="D529" s="5"/>
      <c r="E529" s="5"/>
      <c r="F529" s="5"/>
      <c r="G529" s="8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ht="12.75" customHeight="1">
      <c r="A530" s="5"/>
      <c r="B530" s="5"/>
      <c r="C530" s="8"/>
      <c r="D530" s="5"/>
      <c r="E530" s="5"/>
      <c r="F530" s="5"/>
      <c r="G530" s="8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ht="12.75" customHeight="1">
      <c r="A531" s="5"/>
      <c r="B531" s="5"/>
      <c r="C531" s="8"/>
      <c r="D531" s="5"/>
      <c r="E531" s="5"/>
      <c r="F531" s="5"/>
      <c r="G531" s="8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ht="12.75" customHeight="1">
      <c r="A532" s="5"/>
      <c r="B532" s="5"/>
      <c r="C532" s="8"/>
      <c r="D532" s="5"/>
      <c r="E532" s="5"/>
      <c r="F532" s="5"/>
      <c r="G532" s="8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ht="12.75" customHeight="1">
      <c r="A533" s="5"/>
      <c r="B533" s="5"/>
      <c r="C533" s="8"/>
      <c r="D533" s="5"/>
      <c r="E533" s="5"/>
      <c r="F533" s="5"/>
      <c r="G533" s="8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ht="12.75" customHeight="1">
      <c r="A534" s="5"/>
      <c r="B534" s="5"/>
      <c r="C534" s="8"/>
      <c r="D534" s="5"/>
      <c r="E534" s="5"/>
      <c r="F534" s="5"/>
      <c r="G534" s="8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ht="12.75" customHeight="1">
      <c r="A535" s="5"/>
      <c r="B535" s="5"/>
      <c r="C535" s="8"/>
      <c r="D535" s="5"/>
      <c r="E535" s="5"/>
      <c r="F535" s="5"/>
      <c r="G535" s="8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ht="12.75" customHeight="1">
      <c r="A536" s="5"/>
      <c r="B536" s="5"/>
      <c r="C536" s="8"/>
      <c r="D536" s="5"/>
      <c r="E536" s="5"/>
      <c r="F536" s="5"/>
      <c r="G536" s="8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ht="12.75" customHeight="1">
      <c r="A537" s="5"/>
      <c r="B537" s="5"/>
      <c r="C537" s="8"/>
      <c r="D537" s="5"/>
      <c r="E537" s="5"/>
      <c r="F537" s="5"/>
      <c r="G537" s="8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ht="12.75" customHeight="1">
      <c r="A538" s="5"/>
      <c r="B538" s="5"/>
      <c r="C538" s="8"/>
      <c r="D538" s="5"/>
      <c r="E538" s="5"/>
      <c r="F538" s="5"/>
      <c r="G538" s="8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ht="12.75" customHeight="1">
      <c r="A539" s="5"/>
      <c r="B539" s="5"/>
      <c r="C539" s="8"/>
      <c r="D539" s="5"/>
      <c r="E539" s="5"/>
      <c r="F539" s="5"/>
      <c r="G539" s="8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ht="12.75" customHeight="1">
      <c r="A540" s="5"/>
      <c r="B540" s="5"/>
      <c r="C540" s="8"/>
      <c r="D540" s="5"/>
      <c r="E540" s="5"/>
      <c r="F540" s="5"/>
      <c r="G540" s="8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ht="12.75" customHeight="1">
      <c r="A541" s="5"/>
      <c r="B541" s="5"/>
      <c r="C541" s="8"/>
      <c r="D541" s="5"/>
      <c r="E541" s="5"/>
      <c r="F541" s="5"/>
      <c r="G541" s="8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ht="12.75" customHeight="1">
      <c r="A542" s="5"/>
      <c r="B542" s="5"/>
      <c r="C542" s="8"/>
      <c r="D542" s="5"/>
      <c r="E542" s="5"/>
      <c r="F542" s="5"/>
      <c r="G542" s="8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ht="12.75" customHeight="1">
      <c r="A543" s="5"/>
      <c r="B543" s="5"/>
      <c r="C543" s="8"/>
      <c r="D543" s="5"/>
      <c r="E543" s="5"/>
      <c r="F543" s="5"/>
      <c r="G543" s="8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ht="12.75" customHeight="1">
      <c r="A544" s="5"/>
      <c r="B544" s="5"/>
      <c r="C544" s="8"/>
      <c r="D544" s="5"/>
      <c r="E544" s="5"/>
      <c r="F544" s="5"/>
      <c r="G544" s="8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ht="12.75" customHeight="1">
      <c r="A545" s="5"/>
      <c r="B545" s="5"/>
      <c r="C545" s="8"/>
      <c r="D545" s="5"/>
      <c r="E545" s="5"/>
      <c r="F545" s="5"/>
      <c r="G545" s="8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ht="12.75" customHeight="1">
      <c r="A546" s="5"/>
      <c r="B546" s="5"/>
      <c r="C546" s="8"/>
      <c r="D546" s="5"/>
      <c r="E546" s="5"/>
      <c r="F546" s="5"/>
      <c r="G546" s="8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ht="12.75" customHeight="1">
      <c r="A547" s="5"/>
      <c r="B547" s="5"/>
      <c r="C547" s="8"/>
      <c r="D547" s="5"/>
      <c r="E547" s="5"/>
      <c r="F547" s="5"/>
      <c r="G547" s="8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ht="12.75" customHeight="1">
      <c r="A548" s="5"/>
      <c r="B548" s="5"/>
      <c r="C548" s="8"/>
      <c r="D548" s="5"/>
      <c r="E548" s="5"/>
      <c r="F548" s="5"/>
      <c r="G548" s="8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ht="12.75" customHeight="1">
      <c r="A549" s="5"/>
      <c r="B549" s="5"/>
      <c r="C549" s="8"/>
      <c r="D549" s="5"/>
      <c r="E549" s="5"/>
      <c r="F549" s="5"/>
      <c r="G549" s="8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ht="12.75" customHeight="1">
      <c r="A550" s="5"/>
      <c r="B550" s="5"/>
      <c r="C550" s="8"/>
      <c r="D550" s="5"/>
      <c r="E550" s="5"/>
      <c r="F550" s="5"/>
      <c r="G550" s="8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ht="12.75" customHeight="1">
      <c r="A551" s="5"/>
      <c r="B551" s="5"/>
      <c r="C551" s="8"/>
      <c r="D551" s="5"/>
      <c r="E551" s="5"/>
      <c r="F551" s="5"/>
      <c r="G551" s="8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ht="12.75" customHeight="1">
      <c r="A552" s="5"/>
      <c r="B552" s="5"/>
      <c r="C552" s="8"/>
      <c r="D552" s="5"/>
      <c r="E552" s="5"/>
      <c r="F552" s="5"/>
      <c r="G552" s="8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ht="12.75" customHeight="1">
      <c r="A553" s="5"/>
      <c r="B553" s="5"/>
      <c r="C553" s="8"/>
      <c r="D553" s="5"/>
      <c r="E553" s="5"/>
      <c r="F553" s="5"/>
      <c r="G553" s="8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ht="12.75" customHeight="1">
      <c r="A554" s="5"/>
      <c r="B554" s="5"/>
      <c r="C554" s="8"/>
      <c r="D554" s="5"/>
      <c r="E554" s="5"/>
      <c r="F554" s="5"/>
      <c r="G554" s="8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ht="12.75" customHeight="1">
      <c r="A555" s="5"/>
      <c r="B555" s="5"/>
      <c r="C555" s="8"/>
      <c r="D555" s="5"/>
      <c r="E555" s="5"/>
      <c r="F555" s="5"/>
      <c r="G555" s="8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ht="12.75" customHeight="1">
      <c r="A556" s="5"/>
      <c r="B556" s="5"/>
      <c r="C556" s="8"/>
      <c r="D556" s="5"/>
      <c r="E556" s="5"/>
      <c r="F556" s="5"/>
      <c r="G556" s="8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ht="12.75" customHeight="1">
      <c r="A557" s="5"/>
      <c r="B557" s="5"/>
      <c r="C557" s="8"/>
      <c r="D557" s="5"/>
      <c r="E557" s="5"/>
      <c r="F557" s="5"/>
      <c r="G557" s="8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ht="12.75" customHeight="1">
      <c r="A558" s="5"/>
      <c r="B558" s="5"/>
      <c r="C558" s="8"/>
      <c r="D558" s="5"/>
      <c r="E558" s="5"/>
      <c r="F558" s="5"/>
      <c r="G558" s="8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ht="12.75" customHeight="1">
      <c r="A559" s="5"/>
      <c r="B559" s="5"/>
      <c r="C559" s="8"/>
      <c r="D559" s="5"/>
      <c r="E559" s="5"/>
      <c r="F559" s="5"/>
      <c r="G559" s="8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ht="12.75" customHeight="1">
      <c r="A560" s="5"/>
      <c r="B560" s="5"/>
      <c r="C560" s="8"/>
      <c r="D560" s="5"/>
      <c r="E560" s="5"/>
      <c r="F560" s="5"/>
      <c r="G560" s="8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ht="12.75" customHeight="1">
      <c r="A561" s="5"/>
      <c r="B561" s="5"/>
      <c r="C561" s="8"/>
      <c r="D561" s="5"/>
      <c r="E561" s="5"/>
      <c r="F561" s="5"/>
      <c r="G561" s="8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ht="12.75" customHeight="1">
      <c r="A562" s="5"/>
      <c r="B562" s="5"/>
      <c r="C562" s="8"/>
      <c r="D562" s="5"/>
      <c r="E562" s="5"/>
      <c r="F562" s="5"/>
      <c r="G562" s="8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ht="12.75" customHeight="1">
      <c r="A563" s="5"/>
      <c r="B563" s="5"/>
      <c r="C563" s="8"/>
      <c r="D563" s="5"/>
      <c r="E563" s="5"/>
      <c r="F563" s="5"/>
      <c r="G563" s="8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ht="12.75" customHeight="1">
      <c r="A564" s="5"/>
      <c r="B564" s="5"/>
      <c r="C564" s="8"/>
      <c r="D564" s="5"/>
      <c r="E564" s="5"/>
      <c r="F564" s="5"/>
      <c r="G564" s="8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ht="12.75" customHeight="1">
      <c r="A565" s="5"/>
      <c r="B565" s="5"/>
      <c r="C565" s="8"/>
      <c r="D565" s="5"/>
      <c r="E565" s="5"/>
      <c r="F565" s="5"/>
      <c r="G565" s="8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ht="12.75" customHeight="1">
      <c r="A566" s="5"/>
      <c r="B566" s="5"/>
      <c r="C566" s="8"/>
      <c r="D566" s="5"/>
      <c r="E566" s="5"/>
      <c r="F566" s="5"/>
      <c r="G566" s="8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ht="12.75" customHeight="1">
      <c r="A567" s="5"/>
      <c r="B567" s="5"/>
      <c r="C567" s="8"/>
      <c r="D567" s="5"/>
      <c r="E567" s="5"/>
      <c r="F567" s="5"/>
      <c r="G567" s="8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ht="12.75" customHeight="1">
      <c r="A568" s="5"/>
      <c r="B568" s="5"/>
      <c r="C568" s="8"/>
      <c r="D568" s="5"/>
      <c r="E568" s="5"/>
      <c r="F568" s="5"/>
      <c r="G568" s="8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ht="12.75" customHeight="1">
      <c r="A569" s="5"/>
      <c r="B569" s="5"/>
      <c r="C569" s="8"/>
      <c r="D569" s="5"/>
      <c r="E569" s="5"/>
      <c r="F569" s="5"/>
      <c r="G569" s="8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ht="12.75" customHeight="1">
      <c r="A570" s="5"/>
      <c r="B570" s="5"/>
      <c r="C570" s="8"/>
      <c r="D570" s="5"/>
      <c r="E570" s="5"/>
      <c r="F570" s="5"/>
      <c r="G570" s="8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ht="12.75" customHeight="1">
      <c r="A571" s="5"/>
      <c r="B571" s="5"/>
      <c r="C571" s="8"/>
      <c r="D571" s="5"/>
      <c r="E571" s="5"/>
      <c r="F571" s="5"/>
      <c r="G571" s="8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ht="12.75" customHeight="1">
      <c r="A572" s="5"/>
      <c r="B572" s="5"/>
      <c r="C572" s="8"/>
      <c r="D572" s="5"/>
      <c r="E572" s="5"/>
      <c r="F572" s="5"/>
      <c r="G572" s="8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ht="12.75" customHeight="1">
      <c r="A573" s="5"/>
      <c r="B573" s="5"/>
      <c r="C573" s="8"/>
      <c r="D573" s="5"/>
      <c r="E573" s="5"/>
      <c r="F573" s="5"/>
      <c r="G573" s="8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ht="12.75" customHeight="1">
      <c r="A574" s="5"/>
      <c r="B574" s="5"/>
      <c r="C574" s="8"/>
      <c r="D574" s="5"/>
      <c r="E574" s="5"/>
      <c r="F574" s="5"/>
      <c r="G574" s="8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ht="12.75" customHeight="1">
      <c r="A575" s="5"/>
      <c r="B575" s="5"/>
      <c r="C575" s="8"/>
      <c r="D575" s="5"/>
      <c r="E575" s="5"/>
      <c r="F575" s="5"/>
      <c r="G575" s="8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ht="12.75" customHeight="1">
      <c r="A576" s="5"/>
      <c r="B576" s="5"/>
      <c r="C576" s="8"/>
      <c r="D576" s="5"/>
      <c r="E576" s="5"/>
      <c r="F576" s="5"/>
      <c r="G576" s="8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ht="12.75" customHeight="1">
      <c r="A577" s="5"/>
      <c r="B577" s="5"/>
      <c r="C577" s="8"/>
      <c r="D577" s="5"/>
      <c r="E577" s="5"/>
      <c r="F577" s="5"/>
      <c r="G577" s="8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ht="12.75" customHeight="1">
      <c r="A578" s="5"/>
      <c r="B578" s="5"/>
      <c r="C578" s="8"/>
      <c r="D578" s="5"/>
      <c r="E578" s="5"/>
      <c r="F578" s="5"/>
      <c r="G578" s="8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ht="12.75" customHeight="1">
      <c r="A579" s="5"/>
      <c r="B579" s="5"/>
      <c r="C579" s="8"/>
      <c r="D579" s="5"/>
      <c r="E579" s="5"/>
      <c r="F579" s="5"/>
      <c r="G579" s="8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ht="12.75" customHeight="1">
      <c r="A580" s="5"/>
      <c r="B580" s="5"/>
      <c r="C580" s="8"/>
      <c r="D580" s="5"/>
      <c r="E580" s="5"/>
      <c r="F580" s="5"/>
      <c r="G580" s="8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ht="12.75" customHeight="1">
      <c r="A581" s="5"/>
      <c r="B581" s="5"/>
      <c r="C581" s="8"/>
      <c r="D581" s="5"/>
      <c r="E581" s="5"/>
      <c r="F581" s="5"/>
      <c r="G581" s="8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ht="12.75" customHeight="1">
      <c r="A582" s="5"/>
      <c r="B582" s="5"/>
      <c r="C582" s="8"/>
      <c r="D582" s="5"/>
      <c r="E582" s="5"/>
      <c r="F582" s="5"/>
      <c r="G582" s="8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ht="12.75" customHeight="1">
      <c r="A583" s="5"/>
      <c r="B583" s="5"/>
      <c r="C583" s="8"/>
      <c r="D583" s="5"/>
      <c r="E583" s="5"/>
      <c r="F583" s="5"/>
      <c r="G583" s="8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ht="12.75" customHeight="1">
      <c r="A584" s="5"/>
      <c r="B584" s="5"/>
      <c r="C584" s="8"/>
      <c r="D584" s="5"/>
      <c r="E584" s="5"/>
      <c r="F584" s="5"/>
      <c r="G584" s="8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ht="12.75" customHeight="1">
      <c r="A585" s="5"/>
      <c r="B585" s="5"/>
      <c r="C585" s="8"/>
      <c r="D585" s="5"/>
      <c r="E585" s="5"/>
      <c r="F585" s="5"/>
      <c r="G585" s="8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ht="12.75" customHeight="1">
      <c r="A586" s="5"/>
      <c r="B586" s="5"/>
      <c r="C586" s="8"/>
      <c r="D586" s="5"/>
      <c r="E586" s="5"/>
      <c r="F586" s="5"/>
      <c r="G586" s="8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ht="12.75" customHeight="1">
      <c r="A587" s="5"/>
      <c r="B587" s="5"/>
      <c r="C587" s="8"/>
      <c r="D587" s="5"/>
      <c r="E587" s="5"/>
      <c r="F587" s="5"/>
      <c r="G587" s="8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ht="12.75" customHeight="1">
      <c r="A588" s="5"/>
      <c r="B588" s="5"/>
      <c r="C588" s="8"/>
      <c r="D588" s="5"/>
      <c r="E588" s="5"/>
      <c r="F588" s="5"/>
      <c r="G588" s="8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ht="12.75" customHeight="1">
      <c r="A589" s="5"/>
      <c r="B589" s="5"/>
      <c r="C589" s="8"/>
      <c r="D589" s="5"/>
      <c r="E589" s="5"/>
      <c r="F589" s="5"/>
      <c r="G589" s="8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ht="12.75" customHeight="1">
      <c r="A590" s="5"/>
      <c r="B590" s="5"/>
      <c r="C590" s="8"/>
      <c r="D590" s="5"/>
      <c r="E590" s="5"/>
      <c r="F590" s="5"/>
      <c r="G590" s="8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ht="12.75" customHeight="1">
      <c r="A591" s="5"/>
      <c r="B591" s="5"/>
      <c r="C591" s="8"/>
      <c r="D591" s="5"/>
      <c r="E591" s="5"/>
      <c r="F591" s="5"/>
      <c r="G591" s="8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ht="12.75" customHeight="1">
      <c r="A592" s="5"/>
      <c r="B592" s="5"/>
      <c r="C592" s="8"/>
      <c r="D592" s="5"/>
      <c r="E592" s="5"/>
      <c r="F592" s="5"/>
      <c r="G592" s="8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ht="12.75" customHeight="1">
      <c r="A593" s="5"/>
      <c r="B593" s="5"/>
      <c r="C593" s="8"/>
      <c r="D593" s="5"/>
      <c r="E593" s="5"/>
      <c r="F593" s="5"/>
      <c r="G593" s="8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ht="12.75" customHeight="1">
      <c r="A594" s="5"/>
      <c r="B594" s="5"/>
      <c r="C594" s="8"/>
      <c r="D594" s="5"/>
      <c r="E594" s="5"/>
      <c r="F594" s="5"/>
      <c r="G594" s="8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ht="12.75" customHeight="1">
      <c r="A595" s="5"/>
      <c r="B595" s="5"/>
      <c r="C595" s="8"/>
      <c r="D595" s="5"/>
      <c r="E595" s="5"/>
      <c r="F595" s="5"/>
      <c r="G595" s="8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ht="12.75" customHeight="1">
      <c r="A596" s="5"/>
      <c r="B596" s="5"/>
      <c r="C596" s="8"/>
      <c r="D596" s="5"/>
      <c r="E596" s="5"/>
      <c r="F596" s="5"/>
      <c r="G596" s="8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ht="12.75" customHeight="1">
      <c r="A597" s="5"/>
      <c r="B597" s="5"/>
      <c r="C597" s="8"/>
      <c r="D597" s="5"/>
      <c r="E597" s="5"/>
      <c r="F597" s="5"/>
      <c r="G597" s="8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ht="12.75" customHeight="1">
      <c r="A598" s="5"/>
      <c r="B598" s="5"/>
      <c r="C598" s="8"/>
      <c r="D598" s="5"/>
      <c r="E598" s="5"/>
      <c r="F598" s="5"/>
      <c r="G598" s="8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ht="12.75" customHeight="1">
      <c r="A599" s="5"/>
      <c r="B599" s="5"/>
      <c r="C599" s="8"/>
      <c r="D599" s="5"/>
      <c r="E599" s="5"/>
      <c r="F599" s="5"/>
      <c r="G599" s="8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ht="12.75" customHeight="1">
      <c r="A600" s="5"/>
      <c r="B600" s="5"/>
      <c r="C600" s="8"/>
      <c r="D600" s="5"/>
      <c r="E600" s="5"/>
      <c r="F600" s="5"/>
      <c r="G600" s="8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ht="12.75" customHeight="1">
      <c r="A601" s="5"/>
      <c r="B601" s="5"/>
      <c r="C601" s="8"/>
      <c r="D601" s="5"/>
      <c r="E601" s="5"/>
      <c r="F601" s="5"/>
      <c r="G601" s="8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ht="12.75" customHeight="1">
      <c r="A602" s="5"/>
      <c r="B602" s="5"/>
      <c r="C602" s="8"/>
      <c r="D602" s="5"/>
      <c r="E602" s="5"/>
      <c r="F602" s="5"/>
      <c r="G602" s="8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ht="12.75" customHeight="1">
      <c r="A603" s="5"/>
      <c r="B603" s="5"/>
      <c r="C603" s="8"/>
      <c r="D603" s="5"/>
      <c r="E603" s="5"/>
      <c r="F603" s="5"/>
      <c r="G603" s="8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ht="12.75" customHeight="1">
      <c r="A604" s="5"/>
      <c r="B604" s="5"/>
      <c r="C604" s="8"/>
      <c r="D604" s="5"/>
      <c r="E604" s="5"/>
      <c r="F604" s="5"/>
      <c r="G604" s="8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ht="12.75" customHeight="1">
      <c r="A605" s="5"/>
      <c r="B605" s="5"/>
      <c r="C605" s="8"/>
      <c r="D605" s="5"/>
      <c r="E605" s="5"/>
      <c r="F605" s="5"/>
      <c r="G605" s="8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ht="12.75" customHeight="1">
      <c r="A606" s="5"/>
      <c r="B606" s="5"/>
      <c r="C606" s="8"/>
      <c r="D606" s="5"/>
      <c r="E606" s="5"/>
      <c r="F606" s="5"/>
      <c r="G606" s="8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ht="12.75" customHeight="1">
      <c r="A607" s="5"/>
      <c r="B607" s="5"/>
      <c r="C607" s="8"/>
      <c r="D607" s="5"/>
      <c r="E607" s="5"/>
      <c r="F607" s="5"/>
      <c r="G607" s="8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ht="12.75" customHeight="1">
      <c r="A608" s="5"/>
      <c r="B608" s="5"/>
      <c r="C608" s="8"/>
      <c r="D608" s="5"/>
      <c r="E608" s="5"/>
      <c r="F608" s="5"/>
      <c r="G608" s="8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ht="12.75" customHeight="1">
      <c r="A609" s="5"/>
      <c r="B609" s="5"/>
      <c r="C609" s="8"/>
      <c r="D609" s="5"/>
      <c r="E609" s="5"/>
      <c r="F609" s="5"/>
      <c r="G609" s="8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ht="12.75" customHeight="1">
      <c r="A610" s="5"/>
      <c r="B610" s="5"/>
      <c r="C610" s="8"/>
      <c r="D610" s="5"/>
      <c r="E610" s="5"/>
      <c r="F610" s="5"/>
      <c r="G610" s="8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ht="12.75" customHeight="1">
      <c r="A611" s="5"/>
      <c r="B611" s="5"/>
      <c r="C611" s="8"/>
      <c r="D611" s="5"/>
      <c r="E611" s="5"/>
      <c r="F611" s="5"/>
      <c r="G611" s="8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ht="12.75" customHeight="1">
      <c r="A612" s="5"/>
      <c r="B612" s="5"/>
      <c r="C612" s="8"/>
      <c r="D612" s="5"/>
      <c r="E612" s="5"/>
      <c r="F612" s="5"/>
      <c r="G612" s="8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ht="12.75" customHeight="1">
      <c r="A613" s="5"/>
      <c r="B613" s="5"/>
      <c r="C613" s="8"/>
      <c r="D613" s="5"/>
      <c r="E613" s="5"/>
      <c r="F613" s="5"/>
      <c r="G613" s="8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ht="12.75" customHeight="1">
      <c r="A614" s="5"/>
      <c r="B614" s="5"/>
      <c r="C614" s="8"/>
      <c r="D614" s="5"/>
      <c r="E614" s="5"/>
      <c r="F614" s="5"/>
      <c r="G614" s="8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ht="12.75" customHeight="1">
      <c r="A615" s="5"/>
      <c r="B615" s="5"/>
      <c r="C615" s="8"/>
      <c r="D615" s="5"/>
      <c r="E615" s="5"/>
      <c r="F615" s="5"/>
      <c r="G615" s="8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ht="12.75" customHeight="1">
      <c r="A616" s="5"/>
      <c r="B616" s="5"/>
      <c r="C616" s="8"/>
      <c r="D616" s="5"/>
      <c r="E616" s="5"/>
      <c r="F616" s="5"/>
      <c r="G616" s="8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ht="12.75" customHeight="1">
      <c r="A617" s="5"/>
      <c r="B617" s="5"/>
      <c r="C617" s="8"/>
      <c r="D617" s="5"/>
      <c r="E617" s="5"/>
      <c r="F617" s="5"/>
      <c r="G617" s="8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ht="12.75" customHeight="1">
      <c r="A618" s="5"/>
      <c r="B618" s="5"/>
      <c r="C618" s="8"/>
      <c r="D618" s="5"/>
      <c r="E618" s="5"/>
      <c r="F618" s="5"/>
      <c r="G618" s="8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ht="12.75" customHeight="1">
      <c r="A619" s="5"/>
      <c r="B619" s="5"/>
      <c r="C619" s="8"/>
      <c r="D619" s="5"/>
      <c r="E619" s="5"/>
      <c r="F619" s="5"/>
      <c r="G619" s="8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ht="12.75" customHeight="1">
      <c r="A620" s="5"/>
      <c r="B620" s="5"/>
      <c r="C620" s="8"/>
      <c r="D620" s="5"/>
      <c r="E620" s="5"/>
      <c r="F620" s="5"/>
      <c r="G620" s="8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ht="12.75" customHeight="1">
      <c r="A621" s="5"/>
      <c r="B621" s="5"/>
      <c r="C621" s="8"/>
      <c r="D621" s="5"/>
      <c r="E621" s="5"/>
      <c r="F621" s="5"/>
      <c r="G621" s="8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ht="12.75" customHeight="1">
      <c r="A622" s="5"/>
      <c r="B622" s="5"/>
      <c r="C622" s="8"/>
      <c r="D622" s="5"/>
      <c r="E622" s="5"/>
      <c r="F622" s="5"/>
      <c r="G622" s="8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ht="12.75" customHeight="1">
      <c r="A623" s="5"/>
      <c r="B623" s="5"/>
      <c r="C623" s="8"/>
      <c r="D623" s="5"/>
      <c r="E623" s="5"/>
      <c r="F623" s="5"/>
      <c r="G623" s="8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ht="12.75" customHeight="1">
      <c r="A624" s="5"/>
      <c r="B624" s="5"/>
      <c r="C624" s="8"/>
      <c r="D624" s="5"/>
      <c r="E624" s="5"/>
      <c r="F624" s="5"/>
      <c r="G624" s="8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ht="12.75" customHeight="1">
      <c r="A625" s="5"/>
      <c r="B625" s="5"/>
      <c r="C625" s="8"/>
      <c r="D625" s="5"/>
      <c r="E625" s="5"/>
      <c r="F625" s="5"/>
      <c r="G625" s="8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ht="12.75" customHeight="1">
      <c r="A626" s="5"/>
      <c r="B626" s="5"/>
      <c r="C626" s="8"/>
      <c r="D626" s="5"/>
      <c r="E626" s="5"/>
      <c r="F626" s="5"/>
      <c r="G626" s="8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ht="12.75" customHeight="1">
      <c r="A627" s="5"/>
      <c r="B627" s="5"/>
      <c r="C627" s="8"/>
      <c r="D627" s="5"/>
      <c r="E627" s="5"/>
      <c r="F627" s="5"/>
      <c r="G627" s="8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ht="12.75" customHeight="1">
      <c r="A628" s="5"/>
      <c r="B628" s="5"/>
      <c r="C628" s="8"/>
      <c r="D628" s="5"/>
      <c r="E628" s="5"/>
      <c r="F628" s="5"/>
      <c r="G628" s="8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ht="12.75" customHeight="1">
      <c r="A629" s="5"/>
      <c r="B629" s="5"/>
      <c r="C629" s="8"/>
      <c r="D629" s="5"/>
      <c r="E629" s="5"/>
      <c r="F629" s="5"/>
      <c r="G629" s="8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ht="12.75" customHeight="1">
      <c r="A630" s="5"/>
      <c r="B630" s="5"/>
      <c r="C630" s="8"/>
      <c r="D630" s="5"/>
      <c r="E630" s="5"/>
      <c r="F630" s="5"/>
      <c r="G630" s="8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ht="12.75" customHeight="1">
      <c r="A631" s="5"/>
      <c r="B631" s="5"/>
      <c r="C631" s="8"/>
      <c r="D631" s="5"/>
      <c r="E631" s="5"/>
      <c r="F631" s="5"/>
      <c r="G631" s="8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ht="12.75" customHeight="1">
      <c r="A632" s="5"/>
      <c r="B632" s="5"/>
      <c r="C632" s="8"/>
      <c r="D632" s="5"/>
      <c r="E632" s="5"/>
      <c r="F632" s="5"/>
      <c r="G632" s="8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ht="12.75" customHeight="1">
      <c r="A633" s="5"/>
      <c r="B633" s="5"/>
      <c r="C633" s="8"/>
      <c r="D633" s="5"/>
      <c r="E633" s="5"/>
      <c r="F633" s="5"/>
      <c r="G633" s="8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ht="12.75" customHeight="1">
      <c r="A634" s="5"/>
      <c r="B634" s="5"/>
      <c r="C634" s="8"/>
      <c r="D634" s="5"/>
      <c r="E634" s="5"/>
      <c r="F634" s="5"/>
      <c r="G634" s="8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ht="12.75" customHeight="1">
      <c r="A635" s="5"/>
      <c r="B635" s="5"/>
      <c r="C635" s="8"/>
      <c r="D635" s="5"/>
      <c r="E635" s="5"/>
      <c r="F635" s="5"/>
      <c r="G635" s="8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ht="12.75" customHeight="1">
      <c r="A636" s="5"/>
      <c r="B636" s="5"/>
      <c r="C636" s="8"/>
      <c r="D636" s="5"/>
      <c r="E636" s="5"/>
      <c r="F636" s="5"/>
      <c r="G636" s="8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ht="12.75" customHeight="1">
      <c r="A637" s="5"/>
      <c r="B637" s="5"/>
      <c r="C637" s="8"/>
      <c r="D637" s="5"/>
      <c r="E637" s="5"/>
      <c r="F637" s="5"/>
      <c r="G637" s="8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ht="12.75" customHeight="1">
      <c r="A638" s="5"/>
      <c r="B638" s="5"/>
      <c r="C638" s="8"/>
      <c r="D638" s="5"/>
      <c r="E638" s="5"/>
      <c r="F638" s="5"/>
      <c r="G638" s="8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ht="12.75" customHeight="1">
      <c r="A639" s="5"/>
      <c r="B639" s="5"/>
      <c r="C639" s="8"/>
      <c r="D639" s="5"/>
      <c r="E639" s="5"/>
      <c r="F639" s="5"/>
      <c r="G639" s="8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ht="12.75" customHeight="1">
      <c r="A640" s="5"/>
      <c r="B640" s="5"/>
      <c r="C640" s="8"/>
      <c r="D640" s="5"/>
      <c r="E640" s="5"/>
      <c r="F640" s="5"/>
      <c r="G640" s="8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ht="12.75" customHeight="1">
      <c r="A641" s="5"/>
      <c r="B641" s="5"/>
      <c r="C641" s="8"/>
      <c r="D641" s="5"/>
      <c r="E641" s="5"/>
      <c r="F641" s="5"/>
      <c r="G641" s="8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ht="12.75" customHeight="1">
      <c r="A642" s="5"/>
      <c r="B642" s="5"/>
      <c r="C642" s="8"/>
      <c r="D642" s="5"/>
      <c r="E642" s="5"/>
      <c r="F642" s="5"/>
      <c r="G642" s="8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ht="12.75" customHeight="1">
      <c r="A643" s="5"/>
      <c r="B643" s="5"/>
      <c r="C643" s="8"/>
      <c r="D643" s="5"/>
      <c r="E643" s="5"/>
      <c r="F643" s="5"/>
      <c r="G643" s="8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ht="12.75" customHeight="1">
      <c r="A644" s="5"/>
      <c r="B644" s="5"/>
      <c r="C644" s="8"/>
      <c r="D644" s="5"/>
      <c r="E644" s="5"/>
      <c r="F644" s="5"/>
      <c r="G644" s="8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ht="12.75" customHeight="1">
      <c r="A645" s="5"/>
      <c r="B645" s="5"/>
      <c r="C645" s="8"/>
      <c r="D645" s="5"/>
      <c r="E645" s="5"/>
      <c r="F645" s="5"/>
      <c r="G645" s="8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ht="12.75" customHeight="1">
      <c r="A646" s="5"/>
      <c r="B646" s="5"/>
      <c r="C646" s="8"/>
      <c r="D646" s="5"/>
      <c r="E646" s="5"/>
      <c r="F646" s="5"/>
      <c r="G646" s="8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ht="12.75" customHeight="1">
      <c r="A647" s="5"/>
      <c r="B647" s="5"/>
      <c r="C647" s="8"/>
      <c r="D647" s="5"/>
      <c r="E647" s="5"/>
      <c r="F647" s="5"/>
      <c r="G647" s="8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ht="12.75" customHeight="1">
      <c r="A648" s="5"/>
      <c r="B648" s="5"/>
      <c r="C648" s="8"/>
      <c r="D648" s="5"/>
      <c r="E648" s="5"/>
      <c r="F648" s="5"/>
      <c r="G648" s="8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ht="12.75" customHeight="1">
      <c r="A649" s="5"/>
      <c r="B649" s="5"/>
      <c r="C649" s="8"/>
      <c r="D649" s="5"/>
      <c r="E649" s="5"/>
      <c r="F649" s="5"/>
      <c r="G649" s="8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ht="12.75" customHeight="1">
      <c r="A650" s="5"/>
      <c r="B650" s="5"/>
      <c r="C650" s="8"/>
      <c r="D650" s="5"/>
      <c r="E650" s="5"/>
      <c r="F650" s="5"/>
      <c r="G650" s="8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ht="12.75" customHeight="1">
      <c r="A651" s="5"/>
      <c r="B651" s="5"/>
      <c r="C651" s="8"/>
      <c r="D651" s="5"/>
      <c r="E651" s="5"/>
      <c r="F651" s="5"/>
      <c r="G651" s="8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ht="12.75" customHeight="1">
      <c r="A652" s="5"/>
      <c r="B652" s="5"/>
      <c r="C652" s="8"/>
      <c r="D652" s="5"/>
      <c r="E652" s="5"/>
      <c r="F652" s="5"/>
      <c r="G652" s="8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ht="12.75" customHeight="1">
      <c r="A653" s="5"/>
      <c r="B653" s="5"/>
      <c r="C653" s="8"/>
      <c r="D653" s="5"/>
      <c r="E653" s="5"/>
      <c r="F653" s="5"/>
      <c r="G653" s="8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ht="12.75" customHeight="1">
      <c r="A654" s="5"/>
      <c r="B654" s="5"/>
      <c r="C654" s="8"/>
      <c r="D654" s="5"/>
      <c r="E654" s="5"/>
      <c r="F654" s="5"/>
      <c r="G654" s="8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ht="12.75" customHeight="1">
      <c r="A655" s="5"/>
      <c r="B655" s="5"/>
      <c r="C655" s="8"/>
      <c r="D655" s="5"/>
      <c r="E655" s="5"/>
      <c r="F655" s="5"/>
      <c r="G655" s="8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ht="12.75" customHeight="1">
      <c r="A656" s="5"/>
      <c r="B656" s="5"/>
      <c r="C656" s="8"/>
      <c r="D656" s="5"/>
      <c r="E656" s="5"/>
      <c r="F656" s="5"/>
      <c r="G656" s="8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ht="12.75" customHeight="1">
      <c r="A657" s="5"/>
      <c r="B657" s="5"/>
      <c r="C657" s="8"/>
      <c r="D657" s="5"/>
      <c r="E657" s="5"/>
      <c r="F657" s="5"/>
      <c r="G657" s="8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ht="12.75" customHeight="1">
      <c r="A658" s="5"/>
      <c r="B658" s="5"/>
      <c r="C658" s="8"/>
      <c r="D658" s="5"/>
      <c r="E658" s="5"/>
      <c r="F658" s="5"/>
      <c r="G658" s="8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ht="12.75" customHeight="1">
      <c r="A659" s="5"/>
      <c r="B659" s="5"/>
      <c r="C659" s="8"/>
      <c r="D659" s="5"/>
      <c r="E659" s="5"/>
      <c r="F659" s="5"/>
      <c r="G659" s="8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ht="12.75" customHeight="1">
      <c r="A660" s="5"/>
      <c r="B660" s="5"/>
      <c r="C660" s="8"/>
      <c r="D660" s="5"/>
      <c r="E660" s="5"/>
      <c r="F660" s="5"/>
      <c r="G660" s="8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ht="12.75" customHeight="1">
      <c r="A661" s="5"/>
      <c r="B661" s="5"/>
      <c r="C661" s="8"/>
      <c r="D661" s="5"/>
      <c r="E661" s="5"/>
      <c r="F661" s="5"/>
      <c r="G661" s="8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ht="12.75" customHeight="1">
      <c r="A662" s="5"/>
      <c r="B662" s="5"/>
      <c r="C662" s="8"/>
      <c r="D662" s="5"/>
      <c r="E662" s="5"/>
      <c r="F662" s="5"/>
      <c r="G662" s="8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ht="12.75" customHeight="1">
      <c r="A663" s="5"/>
      <c r="B663" s="5"/>
      <c r="C663" s="8"/>
      <c r="D663" s="5"/>
      <c r="E663" s="5"/>
      <c r="F663" s="5"/>
      <c r="G663" s="8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ht="12.75" customHeight="1">
      <c r="A664" s="5"/>
      <c r="B664" s="5"/>
      <c r="C664" s="8"/>
      <c r="D664" s="5"/>
      <c r="E664" s="5"/>
      <c r="F664" s="5"/>
      <c r="G664" s="8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ht="12.75" customHeight="1">
      <c r="A665" s="5"/>
      <c r="B665" s="5"/>
      <c r="C665" s="8"/>
      <c r="D665" s="5"/>
      <c r="E665" s="5"/>
      <c r="F665" s="5"/>
      <c r="G665" s="8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ht="12.75" customHeight="1">
      <c r="A666" s="5"/>
      <c r="B666" s="5"/>
      <c r="C666" s="8"/>
      <c r="D666" s="5"/>
      <c r="E666" s="5"/>
      <c r="F666" s="5"/>
      <c r="G666" s="8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ht="12.75" customHeight="1">
      <c r="A667" s="5"/>
      <c r="B667" s="5"/>
      <c r="C667" s="8"/>
      <c r="D667" s="5"/>
      <c r="E667" s="5"/>
      <c r="F667" s="5"/>
      <c r="G667" s="8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ht="12.75" customHeight="1">
      <c r="A668" s="5"/>
      <c r="B668" s="5"/>
      <c r="C668" s="8"/>
      <c r="D668" s="5"/>
      <c r="E668" s="5"/>
      <c r="F668" s="5"/>
      <c r="G668" s="8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ht="12.75" customHeight="1">
      <c r="A669" s="5"/>
      <c r="B669" s="5"/>
      <c r="C669" s="8"/>
      <c r="D669" s="5"/>
      <c r="E669" s="5"/>
      <c r="F669" s="5"/>
      <c r="G669" s="8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ht="12.75" customHeight="1">
      <c r="A670" s="5"/>
      <c r="B670" s="5"/>
      <c r="C670" s="8"/>
      <c r="D670" s="5"/>
      <c r="E670" s="5"/>
      <c r="F670" s="5"/>
      <c r="G670" s="8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ht="12.75" customHeight="1">
      <c r="A671" s="5"/>
      <c r="B671" s="5"/>
      <c r="C671" s="8"/>
      <c r="D671" s="5"/>
      <c r="E671" s="5"/>
      <c r="F671" s="5"/>
      <c r="G671" s="8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ht="12.75" customHeight="1">
      <c r="A672" s="5"/>
      <c r="B672" s="5"/>
      <c r="C672" s="8"/>
      <c r="D672" s="5"/>
      <c r="E672" s="5"/>
      <c r="F672" s="5"/>
      <c r="G672" s="8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ht="12.75" customHeight="1">
      <c r="A673" s="5"/>
      <c r="B673" s="5"/>
      <c r="C673" s="8"/>
      <c r="D673" s="5"/>
      <c r="E673" s="5"/>
      <c r="F673" s="5"/>
      <c r="G673" s="8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ht="12.75" customHeight="1">
      <c r="A674" s="5"/>
      <c r="B674" s="5"/>
      <c r="C674" s="8"/>
      <c r="D674" s="5"/>
      <c r="E674" s="5"/>
      <c r="F674" s="5"/>
      <c r="G674" s="8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ht="12.75" customHeight="1">
      <c r="A675" s="5"/>
      <c r="B675" s="5"/>
      <c r="C675" s="8"/>
      <c r="D675" s="5"/>
      <c r="E675" s="5"/>
      <c r="F675" s="5"/>
      <c r="G675" s="8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ht="12.75" customHeight="1">
      <c r="A676" s="5"/>
      <c r="B676" s="5"/>
      <c r="C676" s="8"/>
      <c r="D676" s="5"/>
      <c r="E676" s="5"/>
      <c r="F676" s="5"/>
      <c r="G676" s="8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ht="12.75" customHeight="1">
      <c r="A677" s="5"/>
      <c r="B677" s="5"/>
      <c r="C677" s="8"/>
      <c r="D677" s="5"/>
      <c r="E677" s="5"/>
      <c r="F677" s="5"/>
      <c r="G677" s="8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ht="12.75" customHeight="1">
      <c r="A678" s="5"/>
      <c r="B678" s="5"/>
      <c r="C678" s="8"/>
      <c r="D678" s="5"/>
      <c r="E678" s="5"/>
      <c r="F678" s="5"/>
      <c r="G678" s="8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ht="12.75" customHeight="1">
      <c r="A679" s="5"/>
      <c r="B679" s="5"/>
      <c r="C679" s="8"/>
      <c r="D679" s="5"/>
      <c r="E679" s="5"/>
      <c r="F679" s="5"/>
      <c r="G679" s="8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ht="12.75" customHeight="1">
      <c r="A680" s="5"/>
      <c r="B680" s="5"/>
      <c r="C680" s="8"/>
      <c r="D680" s="5"/>
      <c r="E680" s="5"/>
      <c r="F680" s="5"/>
      <c r="G680" s="8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ht="12.75" customHeight="1">
      <c r="A681" s="5"/>
      <c r="B681" s="5"/>
      <c r="C681" s="8"/>
      <c r="D681" s="5"/>
      <c r="E681" s="5"/>
      <c r="F681" s="5"/>
      <c r="G681" s="8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ht="12.75" customHeight="1">
      <c r="A682" s="5"/>
      <c r="B682" s="5"/>
      <c r="C682" s="8"/>
      <c r="D682" s="5"/>
      <c r="E682" s="5"/>
      <c r="F682" s="5"/>
      <c r="G682" s="8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ht="12.75" customHeight="1">
      <c r="A683" s="5"/>
      <c r="B683" s="5"/>
      <c r="C683" s="8"/>
      <c r="D683" s="5"/>
      <c r="E683" s="5"/>
      <c r="F683" s="5"/>
      <c r="G683" s="8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ht="12.75" customHeight="1">
      <c r="A684" s="5"/>
      <c r="B684" s="5"/>
      <c r="C684" s="8"/>
      <c r="D684" s="5"/>
      <c r="E684" s="5"/>
      <c r="F684" s="5"/>
      <c r="G684" s="8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ht="12.75" customHeight="1">
      <c r="A685" s="5"/>
      <c r="B685" s="5"/>
      <c r="C685" s="8"/>
      <c r="D685" s="5"/>
      <c r="E685" s="5"/>
      <c r="F685" s="5"/>
      <c r="G685" s="8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ht="12.75" customHeight="1">
      <c r="A686" s="5"/>
      <c r="B686" s="5"/>
      <c r="C686" s="8"/>
      <c r="D686" s="5"/>
      <c r="E686" s="5"/>
      <c r="F686" s="5"/>
      <c r="G686" s="8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ht="12.75" customHeight="1">
      <c r="A687" s="5"/>
      <c r="B687" s="5"/>
      <c r="C687" s="8"/>
      <c r="D687" s="5"/>
      <c r="E687" s="5"/>
      <c r="F687" s="5"/>
      <c r="G687" s="8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ht="12.75" customHeight="1">
      <c r="A688" s="5"/>
      <c r="B688" s="5"/>
      <c r="C688" s="8"/>
      <c r="D688" s="5"/>
      <c r="E688" s="5"/>
      <c r="F688" s="5"/>
      <c r="G688" s="8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ht="12.75" customHeight="1">
      <c r="A689" s="5"/>
      <c r="B689" s="5"/>
      <c r="C689" s="8"/>
      <c r="D689" s="5"/>
      <c r="E689" s="5"/>
      <c r="F689" s="5"/>
      <c r="G689" s="8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ht="12.75" customHeight="1">
      <c r="A690" s="5"/>
      <c r="B690" s="5"/>
      <c r="C690" s="8"/>
      <c r="D690" s="5"/>
      <c r="E690" s="5"/>
      <c r="F690" s="5"/>
      <c r="G690" s="8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ht="12.75" customHeight="1">
      <c r="A691" s="5"/>
      <c r="B691" s="5"/>
      <c r="C691" s="8"/>
      <c r="D691" s="5"/>
      <c r="E691" s="5"/>
      <c r="F691" s="5"/>
      <c r="G691" s="8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ht="12.75" customHeight="1">
      <c r="A692" s="5"/>
      <c r="B692" s="5"/>
      <c r="C692" s="8"/>
      <c r="D692" s="5"/>
      <c r="E692" s="5"/>
      <c r="F692" s="5"/>
      <c r="G692" s="8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ht="12.75" customHeight="1">
      <c r="A693" s="5"/>
      <c r="B693" s="5"/>
      <c r="C693" s="8"/>
      <c r="D693" s="5"/>
      <c r="E693" s="5"/>
      <c r="F693" s="5"/>
      <c r="G693" s="8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ht="12.75" customHeight="1">
      <c r="A694" s="5"/>
      <c r="B694" s="5"/>
      <c r="C694" s="8"/>
      <c r="D694" s="5"/>
      <c r="E694" s="5"/>
      <c r="F694" s="5"/>
      <c r="G694" s="8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ht="12.75" customHeight="1">
      <c r="A695" s="5"/>
      <c r="B695" s="5"/>
      <c r="C695" s="8"/>
      <c r="D695" s="5"/>
      <c r="E695" s="5"/>
      <c r="F695" s="5"/>
      <c r="G695" s="8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ht="12.75" customHeight="1">
      <c r="A696" s="5"/>
      <c r="B696" s="5"/>
      <c r="C696" s="8"/>
      <c r="D696" s="5"/>
      <c r="E696" s="5"/>
      <c r="F696" s="5"/>
      <c r="G696" s="8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ht="12.75" customHeight="1">
      <c r="A697" s="5"/>
      <c r="B697" s="5"/>
      <c r="C697" s="8"/>
      <c r="D697" s="5"/>
      <c r="E697" s="5"/>
      <c r="F697" s="5"/>
      <c r="G697" s="8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ht="12.75" customHeight="1">
      <c r="A698" s="5"/>
      <c r="B698" s="5"/>
      <c r="C698" s="8"/>
      <c r="D698" s="5"/>
      <c r="E698" s="5"/>
      <c r="F698" s="5"/>
      <c r="G698" s="8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ht="12.75" customHeight="1">
      <c r="A699" s="5"/>
      <c r="B699" s="5"/>
      <c r="C699" s="8"/>
      <c r="D699" s="5"/>
      <c r="E699" s="5"/>
      <c r="F699" s="5"/>
      <c r="G699" s="8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ht="12.75" customHeight="1">
      <c r="A700" s="5"/>
      <c r="B700" s="5"/>
      <c r="C700" s="8"/>
      <c r="D700" s="5"/>
      <c r="E700" s="5"/>
      <c r="F700" s="5"/>
      <c r="G700" s="8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ht="12.75" customHeight="1">
      <c r="A701" s="5"/>
      <c r="B701" s="5"/>
      <c r="C701" s="8"/>
      <c r="D701" s="5"/>
      <c r="E701" s="5"/>
      <c r="F701" s="5"/>
      <c r="G701" s="8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ht="12.75" customHeight="1">
      <c r="A702" s="5"/>
      <c r="B702" s="5"/>
      <c r="C702" s="8"/>
      <c r="D702" s="5"/>
      <c r="E702" s="5"/>
      <c r="F702" s="5"/>
      <c r="G702" s="8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ht="12.75" customHeight="1">
      <c r="A703" s="5"/>
      <c r="B703" s="5"/>
      <c r="C703" s="8"/>
      <c r="D703" s="5"/>
      <c r="E703" s="5"/>
      <c r="F703" s="5"/>
      <c r="G703" s="8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ht="12.75" customHeight="1">
      <c r="A704" s="5"/>
      <c r="B704" s="5"/>
      <c r="C704" s="8"/>
      <c r="D704" s="5"/>
      <c r="E704" s="5"/>
      <c r="F704" s="5"/>
      <c r="G704" s="8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ht="12.75" customHeight="1">
      <c r="A705" s="5"/>
      <c r="B705" s="5"/>
      <c r="C705" s="8"/>
      <c r="D705" s="5"/>
      <c r="E705" s="5"/>
      <c r="F705" s="5"/>
      <c r="G705" s="8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ht="12.75" customHeight="1">
      <c r="A706" s="5"/>
      <c r="B706" s="5"/>
      <c r="C706" s="8"/>
      <c r="D706" s="5"/>
      <c r="E706" s="5"/>
      <c r="F706" s="5"/>
      <c r="G706" s="8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ht="12.75" customHeight="1">
      <c r="A707" s="5"/>
      <c r="B707" s="5"/>
      <c r="C707" s="8"/>
      <c r="D707" s="5"/>
      <c r="E707" s="5"/>
      <c r="F707" s="5"/>
      <c r="G707" s="8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ht="12.75" customHeight="1">
      <c r="A708" s="5"/>
      <c r="B708" s="5"/>
      <c r="C708" s="8"/>
      <c r="D708" s="5"/>
      <c r="E708" s="5"/>
      <c r="F708" s="5"/>
      <c r="G708" s="8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ht="12.75" customHeight="1">
      <c r="A709" s="5"/>
      <c r="B709" s="5"/>
      <c r="C709" s="8"/>
      <c r="D709" s="5"/>
      <c r="E709" s="5"/>
      <c r="F709" s="5"/>
      <c r="G709" s="8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ht="12.75" customHeight="1">
      <c r="A710" s="5"/>
      <c r="B710" s="5"/>
      <c r="C710" s="8"/>
      <c r="D710" s="5"/>
      <c r="E710" s="5"/>
      <c r="F710" s="5"/>
      <c r="G710" s="8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ht="12.75" customHeight="1">
      <c r="A711" s="5"/>
      <c r="B711" s="5"/>
      <c r="C711" s="8"/>
      <c r="D711" s="5"/>
      <c r="E711" s="5"/>
      <c r="F711" s="5"/>
      <c r="G711" s="8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ht="12.75" customHeight="1">
      <c r="A712" s="5"/>
      <c r="B712" s="5"/>
      <c r="C712" s="8"/>
      <c r="D712" s="5"/>
      <c r="E712" s="5"/>
      <c r="F712" s="5"/>
      <c r="G712" s="8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ht="12.75" customHeight="1">
      <c r="A713" s="5"/>
      <c r="B713" s="5"/>
      <c r="C713" s="8"/>
      <c r="D713" s="5"/>
      <c r="E713" s="5"/>
      <c r="F713" s="5"/>
      <c r="G713" s="8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ht="12.75" customHeight="1">
      <c r="A714" s="5"/>
      <c r="B714" s="5"/>
      <c r="C714" s="8"/>
      <c r="D714" s="5"/>
      <c r="E714" s="5"/>
      <c r="F714" s="5"/>
      <c r="G714" s="8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ht="12.75" customHeight="1">
      <c r="A715" s="5"/>
      <c r="B715" s="5"/>
      <c r="C715" s="8"/>
      <c r="D715" s="5"/>
      <c r="E715" s="5"/>
      <c r="F715" s="5"/>
      <c r="G715" s="8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ht="12.75" customHeight="1">
      <c r="A716" s="5"/>
      <c r="B716" s="5"/>
      <c r="C716" s="8"/>
      <c r="D716" s="5"/>
      <c r="E716" s="5"/>
      <c r="F716" s="5"/>
      <c r="G716" s="8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ht="12.75" customHeight="1">
      <c r="A717" s="5"/>
      <c r="B717" s="5"/>
      <c r="C717" s="8"/>
      <c r="D717" s="5"/>
      <c r="E717" s="5"/>
      <c r="F717" s="5"/>
      <c r="G717" s="8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ht="12.75" customHeight="1">
      <c r="A718" s="5"/>
      <c r="B718" s="5"/>
      <c r="C718" s="8"/>
      <c r="D718" s="5"/>
      <c r="E718" s="5"/>
      <c r="F718" s="5"/>
      <c r="G718" s="8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ht="12.75" customHeight="1">
      <c r="A719" s="5"/>
      <c r="B719" s="5"/>
      <c r="C719" s="8"/>
      <c r="D719" s="5"/>
      <c r="E719" s="5"/>
      <c r="F719" s="5"/>
      <c r="G719" s="8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ht="12.75" customHeight="1">
      <c r="A720" s="5"/>
      <c r="B720" s="5"/>
      <c r="C720" s="8"/>
      <c r="D720" s="5"/>
      <c r="E720" s="5"/>
      <c r="F720" s="5"/>
      <c r="G720" s="8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ht="12.75" customHeight="1">
      <c r="A721" s="5"/>
      <c r="B721" s="5"/>
      <c r="C721" s="8"/>
      <c r="D721" s="5"/>
      <c r="E721" s="5"/>
      <c r="F721" s="5"/>
      <c r="G721" s="8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ht="12.75" customHeight="1">
      <c r="A722" s="5"/>
      <c r="B722" s="5"/>
      <c r="C722" s="8"/>
      <c r="D722" s="5"/>
      <c r="E722" s="5"/>
      <c r="F722" s="5"/>
      <c r="G722" s="8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ht="12.75" customHeight="1">
      <c r="A723" s="5"/>
      <c r="B723" s="5"/>
      <c r="C723" s="8"/>
      <c r="D723" s="5"/>
      <c r="E723" s="5"/>
      <c r="F723" s="5"/>
      <c r="G723" s="8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ht="12.75" customHeight="1">
      <c r="A724" s="5"/>
      <c r="B724" s="5"/>
      <c r="C724" s="8"/>
      <c r="D724" s="5"/>
      <c r="E724" s="5"/>
      <c r="F724" s="5"/>
      <c r="G724" s="8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ht="12.75" customHeight="1">
      <c r="A725" s="5"/>
      <c r="B725" s="5"/>
      <c r="C725" s="8"/>
      <c r="D725" s="5"/>
      <c r="E725" s="5"/>
      <c r="F725" s="5"/>
      <c r="G725" s="8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ht="12.75" customHeight="1">
      <c r="A726" s="5"/>
      <c r="B726" s="5"/>
      <c r="C726" s="8"/>
      <c r="D726" s="5"/>
      <c r="E726" s="5"/>
      <c r="F726" s="5"/>
      <c r="G726" s="8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ht="12.75" customHeight="1">
      <c r="A727" s="5"/>
      <c r="B727" s="5"/>
      <c r="C727" s="8"/>
      <c r="D727" s="5"/>
      <c r="E727" s="5"/>
      <c r="F727" s="5"/>
      <c r="G727" s="8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ht="12.75" customHeight="1">
      <c r="A728" s="5"/>
      <c r="B728" s="5"/>
      <c r="C728" s="8"/>
      <c r="D728" s="5"/>
      <c r="E728" s="5"/>
      <c r="F728" s="5"/>
      <c r="G728" s="8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ht="12.75" customHeight="1">
      <c r="A729" s="5"/>
      <c r="B729" s="5"/>
      <c r="C729" s="8"/>
      <c r="D729" s="5"/>
      <c r="E729" s="5"/>
      <c r="F729" s="5"/>
      <c r="G729" s="8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ht="12.75" customHeight="1">
      <c r="A730" s="5"/>
      <c r="B730" s="5"/>
      <c r="C730" s="8"/>
      <c r="D730" s="5"/>
      <c r="E730" s="5"/>
      <c r="F730" s="5"/>
      <c r="G730" s="8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ht="12.75" customHeight="1">
      <c r="A731" s="5"/>
      <c r="B731" s="5"/>
      <c r="C731" s="8"/>
      <c r="D731" s="5"/>
      <c r="E731" s="5"/>
      <c r="F731" s="5"/>
      <c r="G731" s="8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ht="12.75" customHeight="1">
      <c r="A732" s="5"/>
      <c r="B732" s="5"/>
      <c r="C732" s="8"/>
      <c r="D732" s="5"/>
      <c r="E732" s="5"/>
      <c r="F732" s="5"/>
      <c r="G732" s="8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ht="12.75" customHeight="1">
      <c r="A733" s="5"/>
      <c r="B733" s="5"/>
      <c r="C733" s="8"/>
      <c r="D733" s="5"/>
      <c r="E733" s="5"/>
      <c r="F733" s="5"/>
      <c r="G733" s="8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ht="12.75" customHeight="1">
      <c r="A734" s="5"/>
      <c r="B734" s="5"/>
      <c r="C734" s="8"/>
      <c r="D734" s="5"/>
      <c r="E734" s="5"/>
      <c r="F734" s="5"/>
      <c r="G734" s="8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ht="12.75" customHeight="1">
      <c r="A735" s="5"/>
      <c r="B735" s="5"/>
      <c r="C735" s="8"/>
      <c r="D735" s="5"/>
      <c r="E735" s="5"/>
      <c r="F735" s="5"/>
      <c r="G735" s="8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ht="12.75" customHeight="1">
      <c r="A736" s="5"/>
      <c r="B736" s="5"/>
      <c r="C736" s="8"/>
      <c r="D736" s="5"/>
      <c r="E736" s="5"/>
      <c r="F736" s="5"/>
      <c r="G736" s="8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ht="12.75" customHeight="1">
      <c r="A737" s="5"/>
      <c r="B737" s="5"/>
      <c r="C737" s="8"/>
      <c r="D737" s="5"/>
      <c r="E737" s="5"/>
      <c r="F737" s="5"/>
      <c r="G737" s="8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ht="12.75" customHeight="1">
      <c r="A738" s="5"/>
      <c r="B738" s="5"/>
      <c r="C738" s="8"/>
      <c r="D738" s="5"/>
      <c r="E738" s="5"/>
      <c r="F738" s="5"/>
      <c r="G738" s="8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ht="12.75" customHeight="1">
      <c r="A739" s="5"/>
      <c r="B739" s="5"/>
      <c r="C739" s="8"/>
      <c r="D739" s="5"/>
      <c r="E739" s="5"/>
      <c r="F739" s="5"/>
      <c r="G739" s="8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ht="12.75" customHeight="1">
      <c r="A740" s="5"/>
      <c r="B740" s="5"/>
      <c r="C740" s="8"/>
      <c r="D740" s="5"/>
      <c r="E740" s="5"/>
      <c r="F740" s="5"/>
      <c r="G740" s="8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ht="12.75" customHeight="1">
      <c r="A741" s="5"/>
      <c r="B741" s="5"/>
      <c r="C741" s="8"/>
      <c r="D741" s="5"/>
      <c r="E741" s="5"/>
      <c r="F741" s="5"/>
      <c r="G741" s="8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ht="12.75" customHeight="1">
      <c r="A742" s="5"/>
      <c r="B742" s="5"/>
      <c r="C742" s="8"/>
      <c r="D742" s="5"/>
      <c r="E742" s="5"/>
      <c r="F742" s="5"/>
      <c r="G742" s="8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ht="12.75" customHeight="1">
      <c r="A743" s="5"/>
      <c r="B743" s="5"/>
      <c r="C743" s="8"/>
      <c r="D743" s="5"/>
      <c r="E743" s="5"/>
      <c r="F743" s="5"/>
      <c r="G743" s="8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ht="12.75" customHeight="1">
      <c r="A744" s="5"/>
      <c r="B744" s="5"/>
      <c r="C744" s="8"/>
      <c r="D744" s="5"/>
      <c r="E744" s="5"/>
      <c r="F744" s="5"/>
      <c r="G744" s="8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ht="12.75" customHeight="1">
      <c r="A745" s="5"/>
      <c r="B745" s="5"/>
      <c r="C745" s="8"/>
      <c r="D745" s="5"/>
      <c r="E745" s="5"/>
      <c r="F745" s="5"/>
      <c r="G745" s="8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ht="12.75" customHeight="1">
      <c r="A746" s="5"/>
      <c r="B746" s="5"/>
      <c r="C746" s="8"/>
      <c r="D746" s="5"/>
      <c r="E746" s="5"/>
      <c r="F746" s="5"/>
      <c r="G746" s="8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ht="12.75" customHeight="1">
      <c r="A747" s="5"/>
      <c r="B747" s="5"/>
      <c r="C747" s="8"/>
      <c r="D747" s="5"/>
      <c r="E747" s="5"/>
      <c r="F747" s="5"/>
      <c r="G747" s="8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ht="12.75" customHeight="1">
      <c r="A748" s="5"/>
      <c r="B748" s="5"/>
      <c r="C748" s="8"/>
      <c r="D748" s="5"/>
      <c r="E748" s="5"/>
      <c r="F748" s="5"/>
      <c r="G748" s="8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ht="12.75" customHeight="1">
      <c r="A749" s="5"/>
      <c r="B749" s="5"/>
      <c r="C749" s="8"/>
      <c r="D749" s="5"/>
      <c r="E749" s="5"/>
      <c r="F749" s="5"/>
      <c r="G749" s="8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ht="12.75" customHeight="1">
      <c r="A750" s="5"/>
      <c r="B750" s="5"/>
      <c r="C750" s="8"/>
      <c r="D750" s="5"/>
      <c r="E750" s="5"/>
      <c r="F750" s="5"/>
      <c r="G750" s="8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ht="12.75" customHeight="1">
      <c r="A751" s="5"/>
      <c r="B751" s="5"/>
      <c r="C751" s="8"/>
      <c r="D751" s="5"/>
      <c r="E751" s="5"/>
      <c r="F751" s="5"/>
      <c r="G751" s="8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ht="12.75" customHeight="1">
      <c r="A752" s="5"/>
      <c r="B752" s="5"/>
      <c r="C752" s="8"/>
      <c r="D752" s="5"/>
      <c r="E752" s="5"/>
      <c r="F752" s="5"/>
      <c r="G752" s="8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ht="12.75" customHeight="1">
      <c r="A753" s="5"/>
      <c r="B753" s="5"/>
      <c r="C753" s="8"/>
      <c r="D753" s="5"/>
      <c r="E753" s="5"/>
      <c r="F753" s="5"/>
      <c r="G753" s="8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ht="12.75" customHeight="1">
      <c r="A754" s="5"/>
      <c r="B754" s="5"/>
      <c r="C754" s="8"/>
      <c r="D754" s="5"/>
      <c r="E754" s="5"/>
      <c r="F754" s="5"/>
      <c r="G754" s="8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ht="12.75" customHeight="1">
      <c r="A755" s="5"/>
      <c r="B755" s="5"/>
      <c r="C755" s="8"/>
      <c r="D755" s="5"/>
      <c r="E755" s="5"/>
      <c r="F755" s="5"/>
      <c r="G755" s="8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ht="12.75" customHeight="1">
      <c r="A756" s="5"/>
      <c r="B756" s="5"/>
      <c r="C756" s="8"/>
      <c r="D756" s="5"/>
      <c r="E756" s="5"/>
      <c r="F756" s="5"/>
      <c r="G756" s="8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ht="12.75" customHeight="1">
      <c r="A757" s="5"/>
      <c r="B757" s="5"/>
      <c r="C757" s="8"/>
      <c r="D757" s="5"/>
      <c r="E757" s="5"/>
      <c r="F757" s="5"/>
      <c r="G757" s="8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ht="12.75" customHeight="1">
      <c r="A758" s="5"/>
      <c r="B758" s="5"/>
      <c r="C758" s="8"/>
      <c r="D758" s="5"/>
      <c r="E758" s="5"/>
      <c r="F758" s="5"/>
      <c r="G758" s="8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ht="12.75" customHeight="1">
      <c r="A759" s="5"/>
      <c r="B759" s="5"/>
      <c r="C759" s="8"/>
      <c r="D759" s="5"/>
      <c r="E759" s="5"/>
      <c r="F759" s="5"/>
      <c r="G759" s="8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ht="12.75" customHeight="1">
      <c r="A760" s="5"/>
      <c r="B760" s="5"/>
      <c r="C760" s="8"/>
      <c r="D760" s="5"/>
      <c r="E760" s="5"/>
      <c r="F760" s="5"/>
      <c r="G760" s="8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ht="12.75" customHeight="1">
      <c r="A761" s="5"/>
      <c r="B761" s="5"/>
      <c r="C761" s="8"/>
      <c r="D761" s="5"/>
      <c r="E761" s="5"/>
      <c r="F761" s="5"/>
      <c r="G761" s="8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ht="12.75" customHeight="1">
      <c r="A762" s="5"/>
      <c r="B762" s="5"/>
      <c r="C762" s="8"/>
      <c r="D762" s="5"/>
      <c r="E762" s="5"/>
      <c r="F762" s="5"/>
      <c r="G762" s="8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ht="12.75" customHeight="1">
      <c r="A763" s="5"/>
      <c r="B763" s="5"/>
      <c r="C763" s="8"/>
      <c r="D763" s="5"/>
      <c r="E763" s="5"/>
      <c r="F763" s="5"/>
      <c r="G763" s="8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ht="12.75" customHeight="1">
      <c r="A764" s="5"/>
      <c r="B764" s="5"/>
      <c r="C764" s="8"/>
      <c r="D764" s="5"/>
      <c r="E764" s="5"/>
      <c r="F764" s="5"/>
      <c r="G764" s="8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ht="12.75" customHeight="1">
      <c r="A765" s="5"/>
      <c r="B765" s="5"/>
      <c r="C765" s="8"/>
      <c r="D765" s="5"/>
      <c r="E765" s="5"/>
      <c r="F765" s="5"/>
      <c r="G765" s="8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ht="12.75" customHeight="1">
      <c r="A766" s="5"/>
      <c r="B766" s="5"/>
      <c r="C766" s="8"/>
      <c r="D766" s="5"/>
      <c r="E766" s="5"/>
      <c r="F766" s="5"/>
      <c r="G766" s="8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ht="12.75" customHeight="1">
      <c r="A767" s="5"/>
      <c r="B767" s="5"/>
      <c r="C767" s="8"/>
      <c r="D767" s="5"/>
      <c r="E767" s="5"/>
      <c r="F767" s="5"/>
      <c r="G767" s="8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ht="12.75" customHeight="1">
      <c r="A768" s="5"/>
      <c r="B768" s="5"/>
      <c r="C768" s="8"/>
      <c r="D768" s="5"/>
      <c r="E768" s="5"/>
      <c r="F768" s="5"/>
      <c r="G768" s="8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ht="12.75" customHeight="1">
      <c r="A769" s="5"/>
      <c r="B769" s="5"/>
      <c r="C769" s="8"/>
      <c r="D769" s="5"/>
      <c r="E769" s="5"/>
      <c r="F769" s="5"/>
      <c r="G769" s="8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ht="12.75" customHeight="1">
      <c r="A770" s="5"/>
      <c r="B770" s="5"/>
      <c r="C770" s="8"/>
      <c r="D770" s="5"/>
      <c r="E770" s="5"/>
      <c r="F770" s="5"/>
      <c r="G770" s="8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ht="12.75" customHeight="1">
      <c r="A771" s="5"/>
      <c r="B771" s="5"/>
      <c r="C771" s="8"/>
      <c r="D771" s="5"/>
      <c r="E771" s="5"/>
      <c r="F771" s="5"/>
      <c r="G771" s="8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ht="12.75" customHeight="1">
      <c r="A772" s="5"/>
      <c r="B772" s="5"/>
      <c r="C772" s="8"/>
      <c r="D772" s="5"/>
      <c r="E772" s="5"/>
      <c r="F772" s="5"/>
      <c r="G772" s="8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ht="12.75" customHeight="1">
      <c r="A773" s="5"/>
      <c r="B773" s="5"/>
      <c r="C773" s="8"/>
      <c r="D773" s="5"/>
      <c r="E773" s="5"/>
      <c r="F773" s="5"/>
      <c r="G773" s="8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ht="12.75" customHeight="1">
      <c r="A774" s="5"/>
      <c r="B774" s="5"/>
      <c r="C774" s="8"/>
      <c r="D774" s="5"/>
      <c r="E774" s="5"/>
      <c r="F774" s="5"/>
      <c r="G774" s="8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ht="12.75" customHeight="1">
      <c r="A775" s="5"/>
      <c r="B775" s="5"/>
      <c r="C775" s="8"/>
      <c r="D775" s="5"/>
      <c r="E775" s="5"/>
      <c r="F775" s="5"/>
      <c r="G775" s="8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ht="12.75" customHeight="1">
      <c r="A776" s="5"/>
      <c r="B776" s="5"/>
      <c r="C776" s="8"/>
      <c r="D776" s="5"/>
      <c r="E776" s="5"/>
      <c r="F776" s="5"/>
      <c r="G776" s="8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ht="12.75" customHeight="1">
      <c r="A777" s="5"/>
      <c r="B777" s="5"/>
      <c r="C777" s="8"/>
      <c r="D777" s="5"/>
      <c r="E777" s="5"/>
      <c r="F777" s="5"/>
      <c r="G777" s="8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ht="12.75" customHeight="1">
      <c r="A778" s="5"/>
      <c r="B778" s="5"/>
      <c r="C778" s="8"/>
      <c r="D778" s="5"/>
      <c r="E778" s="5"/>
      <c r="F778" s="5"/>
      <c r="G778" s="8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ht="12.75" customHeight="1">
      <c r="A779" s="5"/>
      <c r="B779" s="5"/>
      <c r="C779" s="8"/>
      <c r="D779" s="5"/>
      <c r="E779" s="5"/>
      <c r="F779" s="5"/>
      <c r="G779" s="8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ht="12.75" customHeight="1">
      <c r="A780" s="5"/>
      <c r="B780" s="5"/>
      <c r="C780" s="8"/>
      <c r="D780" s="5"/>
      <c r="E780" s="5"/>
      <c r="F780" s="5"/>
      <c r="G780" s="8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ht="12.75" customHeight="1">
      <c r="A781" s="5"/>
      <c r="B781" s="5"/>
      <c r="C781" s="8"/>
      <c r="D781" s="5"/>
      <c r="E781" s="5"/>
      <c r="F781" s="5"/>
      <c r="G781" s="8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ht="12.75" customHeight="1">
      <c r="A782" s="5"/>
      <c r="B782" s="5"/>
      <c r="C782" s="8"/>
      <c r="D782" s="5"/>
      <c r="E782" s="5"/>
      <c r="F782" s="5"/>
      <c r="G782" s="8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ht="12.75" customHeight="1">
      <c r="A783" s="5"/>
      <c r="B783" s="5"/>
      <c r="C783" s="8"/>
      <c r="D783" s="5"/>
      <c r="E783" s="5"/>
      <c r="F783" s="5"/>
      <c r="G783" s="8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ht="12.75" customHeight="1">
      <c r="A784" s="5"/>
      <c r="B784" s="5"/>
      <c r="C784" s="8"/>
      <c r="D784" s="5"/>
      <c r="E784" s="5"/>
      <c r="F784" s="5"/>
      <c r="G784" s="8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ht="12.75" customHeight="1">
      <c r="A785" s="5"/>
      <c r="B785" s="5"/>
      <c r="C785" s="8"/>
      <c r="D785" s="5"/>
      <c r="E785" s="5"/>
      <c r="F785" s="5"/>
      <c r="G785" s="8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ht="12.75" customHeight="1">
      <c r="A786" s="5"/>
      <c r="B786" s="5"/>
      <c r="C786" s="8"/>
      <c r="D786" s="5"/>
      <c r="E786" s="5"/>
      <c r="F786" s="5"/>
      <c r="G786" s="8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ht="12.75" customHeight="1">
      <c r="A787" s="5"/>
      <c r="B787" s="5"/>
      <c r="C787" s="8"/>
      <c r="D787" s="5"/>
      <c r="E787" s="5"/>
      <c r="F787" s="5"/>
      <c r="G787" s="8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ht="12.75" customHeight="1">
      <c r="A788" s="5"/>
      <c r="B788" s="5"/>
      <c r="C788" s="8"/>
      <c r="D788" s="5"/>
      <c r="E788" s="5"/>
      <c r="F788" s="5"/>
      <c r="G788" s="8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ht="12.75" customHeight="1">
      <c r="A789" s="5"/>
      <c r="B789" s="5"/>
      <c r="C789" s="8"/>
      <c r="D789" s="5"/>
      <c r="E789" s="5"/>
      <c r="F789" s="5"/>
      <c r="G789" s="8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ht="12.75" customHeight="1">
      <c r="A790" s="5"/>
      <c r="B790" s="5"/>
      <c r="C790" s="8"/>
      <c r="D790" s="5"/>
      <c r="E790" s="5"/>
      <c r="F790" s="5"/>
      <c r="G790" s="8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ht="12.75" customHeight="1">
      <c r="A791" s="5"/>
      <c r="B791" s="5"/>
      <c r="C791" s="8"/>
      <c r="D791" s="5"/>
      <c r="E791" s="5"/>
      <c r="F791" s="5"/>
      <c r="G791" s="8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ht="12.75" customHeight="1">
      <c r="A792" s="5"/>
      <c r="B792" s="5"/>
      <c r="C792" s="8"/>
      <c r="D792" s="5"/>
      <c r="E792" s="5"/>
      <c r="F792" s="5"/>
      <c r="G792" s="8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ht="12.75" customHeight="1">
      <c r="A793" s="5"/>
      <c r="B793" s="5"/>
      <c r="C793" s="8"/>
      <c r="D793" s="5"/>
      <c r="E793" s="5"/>
      <c r="F793" s="5"/>
      <c r="G793" s="8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ht="12.75" customHeight="1">
      <c r="A794" s="5"/>
      <c r="B794" s="5"/>
      <c r="C794" s="8"/>
      <c r="D794" s="5"/>
      <c r="E794" s="5"/>
      <c r="F794" s="5"/>
      <c r="G794" s="8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ht="12.75" customHeight="1">
      <c r="A795" s="5"/>
      <c r="B795" s="5"/>
      <c r="C795" s="8"/>
      <c r="D795" s="5"/>
      <c r="E795" s="5"/>
      <c r="F795" s="5"/>
      <c r="G795" s="8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ht="12.75" customHeight="1">
      <c r="A796" s="5"/>
      <c r="B796" s="5"/>
      <c r="C796" s="8"/>
      <c r="D796" s="5"/>
      <c r="E796" s="5"/>
      <c r="F796" s="5"/>
      <c r="G796" s="8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ht="12.75" customHeight="1">
      <c r="A797" s="5"/>
      <c r="B797" s="5"/>
      <c r="C797" s="8"/>
      <c r="D797" s="5"/>
      <c r="E797" s="5"/>
      <c r="F797" s="5"/>
      <c r="G797" s="8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ht="12.75" customHeight="1">
      <c r="A798" s="5"/>
      <c r="B798" s="5"/>
      <c r="C798" s="8"/>
      <c r="D798" s="5"/>
      <c r="E798" s="5"/>
      <c r="F798" s="5"/>
      <c r="G798" s="8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ht="12.75" customHeight="1">
      <c r="A799" s="5"/>
      <c r="B799" s="5"/>
      <c r="C799" s="8"/>
      <c r="D799" s="5"/>
      <c r="E799" s="5"/>
      <c r="F799" s="5"/>
      <c r="G799" s="8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ht="12.75" customHeight="1">
      <c r="A800" s="5"/>
      <c r="B800" s="5"/>
      <c r="C800" s="8"/>
      <c r="D800" s="5"/>
      <c r="E800" s="5"/>
      <c r="F800" s="5"/>
      <c r="G800" s="8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ht="12.75" customHeight="1">
      <c r="A801" s="5"/>
      <c r="B801" s="5"/>
      <c r="C801" s="8"/>
      <c r="D801" s="5"/>
      <c r="E801" s="5"/>
      <c r="F801" s="5"/>
      <c r="G801" s="8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ht="12.75" customHeight="1">
      <c r="A802" s="5"/>
      <c r="B802" s="5"/>
      <c r="C802" s="8"/>
      <c r="D802" s="5"/>
      <c r="E802" s="5"/>
      <c r="F802" s="5"/>
      <c r="G802" s="8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ht="12.75" customHeight="1">
      <c r="A803" s="5"/>
      <c r="B803" s="5"/>
      <c r="C803" s="8"/>
      <c r="D803" s="5"/>
      <c r="E803" s="5"/>
      <c r="F803" s="5"/>
      <c r="G803" s="8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ht="12.75" customHeight="1">
      <c r="A804" s="5"/>
      <c r="B804" s="5"/>
      <c r="C804" s="8"/>
      <c r="D804" s="5"/>
      <c r="E804" s="5"/>
      <c r="F804" s="5"/>
      <c r="G804" s="8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ht="12.75" customHeight="1">
      <c r="A805" s="5"/>
      <c r="B805" s="5"/>
      <c r="C805" s="8"/>
      <c r="D805" s="5"/>
      <c r="E805" s="5"/>
      <c r="F805" s="5"/>
      <c r="G805" s="8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ht="12.75" customHeight="1">
      <c r="A806" s="5"/>
      <c r="B806" s="5"/>
      <c r="C806" s="8"/>
      <c r="D806" s="5"/>
      <c r="E806" s="5"/>
      <c r="F806" s="5"/>
      <c r="G806" s="8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ht="12.75" customHeight="1">
      <c r="A807" s="5"/>
      <c r="B807" s="5"/>
      <c r="C807" s="8"/>
      <c r="D807" s="5"/>
      <c r="E807" s="5"/>
      <c r="F807" s="5"/>
      <c r="G807" s="8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ht="12.75" customHeight="1">
      <c r="A808" s="5"/>
      <c r="B808" s="5"/>
      <c r="C808" s="8"/>
      <c r="D808" s="5"/>
      <c r="E808" s="5"/>
      <c r="F808" s="5"/>
      <c r="G808" s="8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ht="12.75" customHeight="1">
      <c r="A809" s="5"/>
      <c r="B809" s="5"/>
      <c r="C809" s="8"/>
      <c r="D809" s="5"/>
      <c r="E809" s="5"/>
      <c r="F809" s="5"/>
      <c r="G809" s="8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ht="12.75" customHeight="1">
      <c r="A810" s="5"/>
      <c r="B810" s="5"/>
      <c r="C810" s="8"/>
      <c r="D810" s="5"/>
      <c r="E810" s="5"/>
      <c r="F810" s="5"/>
      <c r="G810" s="8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ht="12.75" customHeight="1">
      <c r="A811" s="5"/>
      <c r="B811" s="5"/>
      <c r="C811" s="8"/>
      <c r="D811" s="5"/>
      <c r="E811" s="5"/>
      <c r="F811" s="5"/>
      <c r="G811" s="8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ht="12.75" customHeight="1">
      <c r="A812" s="5"/>
      <c r="B812" s="5"/>
      <c r="C812" s="8"/>
      <c r="D812" s="5"/>
      <c r="E812" s="5"/>
      <c r="F812" s="5"/>
      <c r="G812" s="8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ht="12.75" customHeight="1">
      <c r="A813" s="5"/>
      <c r="B813" s="5"/>
      <c r="C813" s="8"/>
      <c r="D813" s="5"/>
      <c r="E813" s="5"/>
      <c r="F813" s="5"/>
      <c r="G813" s="8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ht="12.75" customHeight="1">
      <c r="A814" s="5"/>
      <c r="B814" s="5"/>
      <c r="C814" s="8"/>
      <c r="D814" s="5"/>
      <c r="E814" s="5"/>
      <c r="F814" s="5"/>
      <c r="G814" s="8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ht="12.75" customHeight="1">
      <c r="A815" s="5"/>
      <c r="B815" s="5"/>
      <c r="C815" s="8"/>
      <c r="D815" s="5"/>
      <c r="E815" s="5"/>
      <c r="F815" s="5"/>
      <c r="G815" s="8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ht="12.75" customHeight="1">
      <c r="A816" s="5"/>
      <c r="B816" s="5"/>
      <c r="C816" s="8"/>
      <c r="D816" s="5"/>
      <c r="E816" s="5"/>
      <c r="F816" s="5"/>
      <c r="G816" s="8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ht="12.75" customHeight="1">
      <c r="A817" s="5"/>
      <c r="B817" s="5"/>
      <c r="C817" s="8"/>
      <c r="D817" s="5"/>
      <c r="E817" s="5"/>
      <c r="F817" s="5"/>
      <c r="G817" s="8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ht="12.75" customHeight="1">
      <c r="A818" s="5"/>
      <c r="B818" s="5"/>
      <c r="C818" s="8"/>
      <c r="D818" s="5"/>
      <c r="E818" s="5"/>
      <c r="F818" s="5"/>
      <c r="G818" s="8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ht="12.75" customHeight="1">
      <c r="A819" s="5"/>
      <c r="B819" s="5"/>
      <c r="C819" s="8"/>
      <c r="D819" s="5"/>
      <c r="E819" s="5"/>
      <c r="F819" s="5"/>
      <c r="G819" s="8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ht="12.75" customHeight="1">
      <c r="A820" s="5"/>
      <c r="B820" s="5"/>
      <c r="C820" s="8"/>
      <c r="D820" s="5"/>
      <c r="E820" s="5"/>
      <c r="F820" s="5"/>
      <c r="G820" s="8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ht="12.75" customHeight="1">
      <c r="A821" s="5"/>
      <c r="B821" s="5"/>
      <c r="C821" s="8"/>
      <c r="D821" s="5"/>
      <c r="E821" s="5"/>
      <c r="F821" s="5"/>
      <c r="G821" s="8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ht="12.75" customHeight="1">
      <c r="A822" s="5"/>
      <c r="B822" s="5"/>
      <c r="C822" s="8"/>
      <c r="D822" s="5"/>
      <c r="E822" s="5"/>
      <c r="F822" s="5"/>
      <c r="G822" s="8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ht="12.75" customHeight="1">
      <c r="A823" s="5"/>
      <c r="B823" s="5"/>
      <c r="C823" s="8"/>
      <c r="D823" s="5"/>
      <c r="E823" s="5"/>
      <c r="F823" s="5"/>
      <c r="G823" s="8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ht="12.75" customHeight="1">
      <c r="A824" s="5"/>
      <c r="B824" s="5"/>
      <c r="C824" s="8"/>
      <c r="D824" s="5"/>
      <c r="E824" s="5"/>
      <c r="F824" s="5"/>
      <c r="G824" s="8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ht="12.75" customHeight="1">
      <c r="A825" s="5"/>
      <c r="B825" s="5"/>
      <c r="C825" s="8"/>
      <c r="D825" s="5"/>
      <c r="E825" s="5"/>
      <c r="F825" s="5"/>
      <c r="G825" s="8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ht="12.75" customHeight="1">
      <c r="A826" s="5"/>
      <c r="B826" s="5"/>
      <c r="C826" s="8"/>
      <c r="D826" s="5"/>
      <c r="E826" s="5"/>
      <c r="F826" s="5"/>
      <c r="G826" s="8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ht="12.75" customHeight="1">
      <c r="A827" s="5"/>
      <c r="B827" s="5"/>
      <c r="C827" s="8"/>
      <c r="D827" s="5"/>
      <c r="E827" s="5"/>
      <c r="F827" s="5"/>
      <c r="G827" s="8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ht="12.75" customHeight="1">
      <c r="A828" s="5"/>
      <c r="B828" s="5"/>
      <c r="C828" s="8"/>
      <c r="D828" s="5"/>
      <c r="E828" s="5"/>
      <c r="F828" s="5"/>
      <c r="G828" s="8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ht="12.75" customHeight="1">
      <c r="A829" s="5"/>
      <c r="B829" s="5"/>
      <c r="C829" s="8"/>
      <c r="D829" s="5"/>
      <c r="E829" s="5"/>
      <c r="F829" s="5"/>
      <c r="G829" s="8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ht="12.75" customHeight="1">
      <c r="A830" s="5"/>
      <c r="B830" s="5"/>
      <c r="C830" s="8"/>
      <c r="D830" s="5"/>
      <c r="E830" s="5"/>
      <c r="F830" s="5"/>
      <c r="G830" s="8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ht="12.75" customHeight="1">
      <c r="A831" s="5"/>
      <c r="B831" s="5"/>
      <c r="C831" s="8"/>
      <c r="D831" s="5"/>
      <c r="E831" s="5"/>
      <c r="F831" s="5"/>
      <c r="G831" s="8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ht="12.75" customHeight="1">
      <c r="A832" s="5"/>
      <c r="B832" s="5"/>
      <c r="C832" s="8"/>
      <c r="D832" s="5"/>
      <c r="E832" s="5"/>
      <c r="F832" s="5"/>
      <c r="G832" s="8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ht="12.75" customHeight="1">
      <c r="A833" s="5"/>
      <c r="B833" s="5"/>
      <c r="C833" s="8"/>
      <c r="D833" s="5"/>
      <c r="E833" s="5"/>
      <c r="F833" s="5"/>
      <c r="G833" s="8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ht="12.75" customHeight="1">
      <c r="A834" s="5"/>
      <c r="B834" s="5"/>
      <c r="C834" s="8"/>
      <c r="D834" s="5"/>
      <c r="E834" s="5"/>
      <c r="F834" s="5"/>
      <c r="G834" s="8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ht="12.75" customHeight="1">
      <c r="A835" s="5"/>
      <c r="B835" s="5"/>
      <c r="C835" s="8"/>
      <c r="D835" s="5"/>
      <c r="E835" s="5"/>
      <c r="F835" s="5"/>
      <c r="G835" s="8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ht="12.75" customHeight="1">
      <c r="A836" s="5"/>
      <c r="B836" s="5"/>
      <c r="C836" s="8"/>
      <c r="D836" s="5"/>
      <c r="E836" s="5"/>
      <c r="F836" s="5"/>
      <c r="G836" s="8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ht="12.75" customHeight="1">
      <c r="A837" s="5"/>
      <c r="B837" s="5"/>
      <c r="C837" s="8"/>
      <c r="D837" s="5"/>
      <c r="E837" s="5"/>
      <c r="F837" s="5"/>
      <c r="G837" s="8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ht="12.75" customHeight="1">
      <c r="A838" s="5"/>
      <c r="B838" s="5"/>
      <c r="C838" s="8"/>
      <c r="D838" s="5"/>
      <c r="E838" s="5"/>
      <c r="F838" s="5"/>
      <c r="G838" s="8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ht="12.75" customHeight="1">
      <c r="A839" s="5"/>
      <c r="B839" s="5"/>
      <c r="C839" s="8"/>
      <c r="D839" s="5"/>
      <c r="E839" s="5"/>
      <c r="F839" s="5"/>
      <c r="G839" s="8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ht="12.75" customHeight="1">
      <c r="A840" s="5"/>
      <c r="B840" s="5"/>
      <c r="C840" s="8"/>
      <c r="D840" s="5"/>
      <c r="E840" s="5"/>
      <c r="F840" s="5"/>
      <c r="G840" s="8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ht="12.75" customHeight="1">
      <c r="A841" s="5"/>
      <c r="B841" s="5"/>
      <c r="C841" s="8"/>
      <c r="D841" s="5"/>
      <c r="E841" s="5"/>
      <c r="F841" s="5"/>
      <c r="G841" s="8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ht="12.75" customHeight="1">
      <c r="A842" s="5"/>
      <c r="B842" s="5"/>
      <c r="C842" s="8"/>
      <c r="D842" s="5"/>
      <c r="E842" s="5"/>
      <c r="F842" s="5"/>
      <c r="G842" s="8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ht="12.75" customHeight="1">
      <c r="A843" s="5"/>
      <c r="B843" s="5"/>
      <c r="C843" s="8"/>
      <c r="D843" s="5"/>
      <c r="E843" s="5"/>
      <c r="F843" s="5"/>
      <c r="G843" s="8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ht="12.75" customHeight="1">
      <c r="A844" s="5"/>
      <c r="B844" s="5"/>
      <c r="C844" s="8"/>
      <c r="D844" s="5"/>
      <c r="E844" s="5"/>
      <c r="F844" s="5"/>
      <c r="G844" s="8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ht="12.75" customHeight="1">
      <c r="A845" s="5"/>
      <c r="B845" s="5"/>
      <c r="C845" s="8"/>
      <c r="D845" s="5"/>
      <c r="E845" s="5"/>
      <c r="F845" s="5"/>
      <c r="G845" s="8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ht="12.75" customHeight="1">
      <c r="A846" s="5"/>
      <c r="B846" s="5"/>
      <c r="C846" s="8"/>
      <c r="D846" s="5"/>
      <c r="E846" s="5"/>
      <c r="F846" s="5"/>
      <c r="G846" s="8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ht="12.75" customHeight="1">
      <c r="A847" s="5"/>
      <c r="B847" s="5"/>
      <c r="C847" s="8"/>
      <c r="D847" s="5"/>
      <c r="E847" s="5"/>
      <c r="F847" s="5"/>
      <c r="G847" s="8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ht="12.75" customHeight="1">
      <c r="A848" s="5"/>
      <c r="B848" s="5"/>
      <c r="C848" s="8"/>
      <c r="D848" s="5"/>
      <c r="E848" s="5"/>
      <c r="F848" s="5"/>
      <c r="G848" s="8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ht="12.75" customHeight="1">
      <c r="A849" s="5"/>
      <c r="B849" s="5"/>
      <c r="C849" s="8"/>
      <c r="D849" s="5"/>
      <c r="E849" s="5"/>
      <c r="F849" s="5"/>
      <c r="G849" s="8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ht="12.75" customHeight="1">
      <c r="A850" s="5"/>
      <c r="B850" s="5"/>
      <c r="C850" s="8"/>
      <c r="D850" s="5"/>
      <c r="E850" s="5"/>
      <c r="F850" s="5"/>
      <c r="G850" s="8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ht="12.75" customHeight="1">
      <c r="A851" s="5"/>
      <c r="B851" s="5"/>
      <c r="C851" s="8"/>
      <c r="D851" s="5"/>
      <c r="E851" s="5"/>
      <c r="F851" s="5"/>
      <c r="G851" s="8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ht="12.75" customHeight="1">
      <c r="A852" s="5"/>
      <c r="B852" s="5"/>
      <c r="C852" s="8"/>
      <c r="D852" s="5"/>
      <c r="E852" s="5"/>
      <c r="F852" s="5"/>
      <c r="G852" s="8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ht="12.75" customHeight="1">
      <c r="A853" s="5"/>
      <c r="B853" s="5"/>
      <c r="C853" s="8"/>
      <c r="D853" s="5"/>
      <c r="E853" s="5"/>
      <c r="F853" s="5"/>
      <c r="G853" s="8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ht="12.75" customHeight="1">
      <c r="A854" s="5"/>
      <c r="B854" s="5"/>
      <c r="C854" s="8"/>
      <c r="D854" s="5"/>
      <c r="E854" s="5"/>
      <c r="F854" s="5"/>
      <c r="G854" s="8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ht="12.75" customHeight="1">
      <c r="A855" s="5"/>
      <c r="B855" s="5"/>
      <c r="C855" s="8"/>
      <c r="D855" s="5"/>
      <c r="E855" s="5"/>
      <c r="F855" s="5"/>
      <c r="G855" s="8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ht="12.75" customHeight="1">
      <c r="A856" s="5"/>
      <c r="B856" s="5"/>
      <c r="C856" s="8"/>
      <c r="D856" s="5"/>
      <c r="E856" s="5"/>
      <c r="F856" s="5"/>
      <c r="G856" s="8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ht="12.75" customHeight="1">
      <c r="A857" s="5"/>
      <c r="B857" s="5"/>
      <c r="C857" s="8"/>
      <c r="D857" s="5"/>
      <c r="E857" s="5"/>
      <c r="F857" s="5"/>
      <c r="G857" s="8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ht="12.75" customHeight="1">
      <c r="A858" s="5"/>
      <c r="B858" s="5"/>
      <c r="C858" s="8"/>
      <c r="D858" s="5"/>
      <c r="E858" s="5"/>
      <c r="F858" s="5"/>
      <c r="G858" s="8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ht="12.75" customHeight="1">
      <c r="A859" s="5"/>
      <c r="B859" s="5"/>
      <c r="C859" s="8"/>
      <c r="D859" s="5"/>
      <c r="E859" s="5"/>
      <c r="F859" s="5"/>
      <c r="G859" s="8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ht="12.75" customHeight="1">
      <c r="A860" s="5"/>
      <c r="B860" s="5"/>
      <c r="C860" s="8"/>
      <c r="D860" s="5"/>
      <c r="E860" s="5"/>
      <c r="F860" s="5"/>
      <c r="G860" s="8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ht="12.75" customHeight="1">
      <c r="A861" s="5"/>
      <c r="B861" s="5"/>
      <c r="C861" s="8"/>
      <c r="D861" s="5"/>
      <c r="E861" s="5"/>
      <c r="F861" s="5"/>
      <c r="G861" s="8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ht="12.75" customHeight="1">
      <c r="A862" s="5"/>
      <c r="B862" s="5"/>
      <c r="C862" s="8"/>
      <c r="D862" s="5"/>
      <c r="E862" s="5"/>
      <c r="F862" s="5"/>
      <c r="G862" s="8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ht="12.75" customHeight="1">
      <c r="A863" s="5"/>
      <c r="B863" s="5"/>
      <c r="C863" s="8"/>
      <c r="D863" s="5"/>
      <c r="E863" s="5"/>
      <c r="F863" s="5"/>
      <c r="G863" s="8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ht="12.75" customHeight="1">
      <c r="A864" s="5"/>
      <c r="B864" s="5"/>
      <c r="C864" s="8"/>
      <c r="D864" s="5"/>
      <c r="E864" s="5"/>
      <c r="F864" s="5"/>
      <c r="G864" s="8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ht="12.75" customHeight="1">
      <c r="A865" s="5"/>
      <c r="B865" s="5"/>
      <c r="C865" s="8"/>
      <c r="D865" s="5"/>
      <c r="E865" s="5"/>
      <c r="F865" s="5"/>
      <c r="G865" s="8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ht="12.75" customHeight="1">
      <c r="A866" s="5"/>
      <c r="B866" s="5"/>
      <c r="C866" s="8"/>
      <c r="D866" s="5"/>
      <c r="E866" s="5"/>
      <c r="F866" s="5"/>
      <c r="G866" s="8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ht="12.75" customHeight="1">
      <c r="A867" s="5"/>
      <c r="B867" s="5"/>
      <c r="C867" s="8"/>
      <c r="D867" s="5"/>
      <c r="E867" s="5"/>
      <c r="F867" s="5"/>
      <c r="G867" s="8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ht="12.75" customHeight="1">
      <c r="A868" s="5"/>
      <c r="B868" s="5"/>
      <c r="C868" s="8"/>
      <c r="D868" s="5"/>
      <c r="E868" s="5"/>
      <c r="F868" s="5"/>
      <c r="G868" s="8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ht="12.75" customHeight="1">
      <c r="A869" s="5"/>
      <c r="B869" s="5"/>
      <c r="C869" s="8"/>
      <c r="D869" s="5"/>
      <c r="E869" s="5"/>
      <c r="F869" s="5"/>
      <c r="G869" s="8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ht="12.75" customHeight="1">
      <c r="A870" s="5"/>
      <c r="B870" s="5"/>
      <c r="C870" s="8"/>
      <c r="D870" s="5"/>
      <c r="E870" s="5"/>
      <c r="F870" s="5"/>
      <c r="G870" s="8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ht="12.75" customHeight="1">
      <c r="A871" s="5"/>
      <c r="B871" s="5"/>
      <c r="C871" s="8"/>
      <c r="D871" s="5"/>
      <c r="E871" s="5"/>
      <c r="F871" s="5"/>
      <c r="G871" s="8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ht="12.75" customHeight="1">
      <c r="A872" s="5"/>
      <c r="B872" s="5"/>
      <c r="C872" s="8"/>
      <c r="D872" s="5"/>
      <c r="E872" s="5"/>
      <c r="F872" s="5"/>
      <c r="G872" s="8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ht="12.75" customHeight="1">
      <c r="A873" s="5"/>
      <c r="B873" s="5"/>
      <c r="C873" s="8"/>
      <c r="D873" s="5"/>
      <c r="E873" s="5"/>
      <c r="F873" s="5"/>
      <c r="G873" s="8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ht="12.75" customHeight="1">
      <c r="A874" s="5"/>
      <c r="B874" s="5"/>
      <c r="C874" s="8"/>
      <c r="D874" s="5"/>
      <c r="E874" s="5"/>
      <c r="F874" s="5"/>
      <c r="G874" s="8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ht="12.75" customHeight="1">
      <c r="A875" s="5"/>
      <c r="B875" s="5"/>
      <c r="C875" s="8"/>
      <c r="D875" s="5"/>
      <c r="E875" s="5"/>
      <c r="F875" s="5"/>
      <c r="G875" s="8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ht="12.75" customHeight="1">
      <c r="A876" s="5"/>
      <c r="B876" s="5"/>
      <c r="C876" s="8"/>
      <c r="D876" s="5"/>
      <c r="E876" s="5"/>
      <c r="F876" s="5"/>
      <c r="G876" s="8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ht="12.75" customHeight="1">
      <c r="A877" s="5"/>
      <c r="B877" s="5"/>
      <c r="C877" s="8"/>
      <c r="D877" s="5"/>
      <c r="E877" s="5"/>
      <c r="F877" s="5"/>
      <c r="G877" s="8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ht="12.75" customHeight="1">
      <c r="A878" s="5"/>
      <c r="B878" s="5"/>
      <c r="C878" s="8"/>
      <c r="D878" s="5"/>
      <c r="E878" s="5"/>
      <c r="F878" s="5"/>
      <c r="G878" s="8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ht="12.75" customHeight="1">
      <c r="A879" s="5"/>
      <c r="B879" s="5"/>
      <c r="C879" s="8"/>
      <c r="D879" s="5"/>
      <c r="E879" s="5"/>
      <c r="F879" s="5"/>
      <c r="G879" s="8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ht="12.75" customHeight="1">
      <c r="A880" s="5"/>
      <c r="B880" s="5"/>
      <c r="C880" s="8"/>
      <c r="D880" s="5"/>
      <c r="E880" s="5"/>
      <c r="F880" s="5"/>
      <c r="G880" s="8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ht="12.75" customHeight="1">
      <c r="A881" s="5"/>
      <c r="B881" s="5"/>
      <c r="C881" s="8"/>
      <c r="D881" s="5"/>
      <c r="E881" s="5"/>
      <c r="F881" s="5"/>
      <c r="G881" s="8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ht="12.75" customHeight="1">
      <c r="A882" s="5"/>
      <c r="B882" s="5"/>
      <c r="C882" s="8"/>
      <c r="D882" s="5"/>
      <c r="E882" s="5"/>
      <c r="F882" s="5"/>
      <c r="G882" s="8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ht="12.75" customHeight="1">
      <c r="A883" s="5"/>
      <c r="B883" s="5"/>
      <c r="C883" s="8"/>
      <c r="D883" s="5"/>
      <c r="E883" s="5"/>
      <c r="F883" s="5"/>
      <c r="G883" s="8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ht="12.75" customHeight="1">
      <c r="A884" s="5"/>
      <c r="B884" s="5"/>
      <c r="C884" s="8"/>
      <c r="D884" s="5"/>
      <c r="E884" s="5"/>
      <c r="F884" s="5"/>
      <c r="G884" s="8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ht="12.75" customHeight="1">
      <c r="A885" s="5"/>
      <c r="B885" s="5"/>
      <c r="C885" s="8"/>
      <c r="D885" s="5"/>
      <c r="E885" s="5"/>
      <c r="F885" s="5"/>
      <c r="G885" s="8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ht="12.75" customHeight="1">
      <c r="A886" s="5"/>
      <c r="B886" s="5"/>
      <c r="C886" s="8"/>
      <c r="D886" s="5"/>
      <c r="E886" s="5"/>
      <c r="F886" s="5"/>
      <c r="G886" s="8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ht="12.75" customHeight="1">
      <c r="A887" s="5"/>
      <c r="B887" s="5"/>
      <c r="C887" s="8"/>
      <c r="D887" s="5"/>
      <c r="E887" s="5"/>
      <c r="F887" s="5"/>
      <c r="G887" s="8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ht="12.75" customHeight="1">
      <c r="A888" s="5"/>
      <c r="B888" s="5"/>
      <c r="C888" s="8"/>
      <c r="D888" s="5"/>
      <c r="E888" s="5"/>
      <c r="F888" s="5"/>
      <c r="G888" s="8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ht="12.75" customHeight="1">
      <c r="A889" s="5"/>
      <c r="B889" s="5"/>
      <c r="C889" s="8"/>
      <c r="D889" s="5"/>
      <c r="E889" s="5"/>
      <c r="F889" s="5"/>
      <c r="G889" s="8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ht="12.75" customHeight="1">
      <c r="A890" s="5"/>
      <c r="B890" s="5"/>
      <c r="C890" s="8"/>
      <c r="D890" s="5"/>
      <c r="E890" s="5"/>
      <c r="F890" s="5"/>
      <c r="G890" s="8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ht="12.75" customHeight="1">
      <c r="A891" s="5"/>
      <c r="B891" s="5"/>
      <c r="C891" s="8"/>
      <c r="D891" s="5"/>
      <c r="E891" s="5"/>
      <c r="F891" s="5"/>
      <c r="G891" s="8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ht="12.75" customHeight="1">
      <c r="A892" s="5"/>
      <c r="B892" s="5"/>
      <c r="C892" s="8"/>
      <c r="D892" s="5"/>
      <c r="E892" s="5"/>
      <c r="F892" s="5"/>
      <c r="G892" s="8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ht="12.75" customHeight="1">
      <c r="A893" s="5"/>
      <c r="B893" s="5"/>
      <c r="C893" s="8"/>
      <c r="D893" s="5"/>
      <c r="E893" s="5"/>
      <c r="F893" s="5"/>
      <c r="G893" s="8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ht="12.75" customHeight="1">
      <c r="A894" s="5"/>
      <c r="B894" s="5"/>
      <c r="C894" s="8"/>
      <c r="D894" s="5"/>
      <c r="E894" s="5"/>
      <c r="F894" s="5"/>
      <c r="G894" s="8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ht="12.75" customHeight="1">
      <c r="A895" s="5"/>
      <c r="B895" s="5"/>
      <c r="C895" s="8"/>
      <c r="D895" s="5"/>
      <c r="E895" s="5"/>
      <c r="F895" s="5"/>
      <c r="G895" s="8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ht="12.75" customHeight="1">
      <c r="A896" s="5"/>
      <c r="B896" s="5"/>
      <c r="C896" s="8"/>
      <c r="D896" s="5"/>
      <c r="E896" s="5"/>
      <c r="F896" s="5"/>
      <c r="G896" s="8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ht="12.75" customHeight="1">
      <c r="A897" s="5"/>
      <c r="B897" s="5"/>
      <c r="C897" s="8"/>
      <c r="D897" s="5"/>
      <c r="E897" s="5"/>
      <c r="F897" s="5"/>
      <c r="G897" s="8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ht="12.75" customHeight="1">
      <c r="A898" s="5"/>
      <c r="B898" s="5"/>
      <c r="C898" s="8"/>
      <c r="D898" s="5"/>
      <c r="E898" s="5"/>
      <c r="F898" s="5"/>
      <c r="G898" s="8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ht="12.75" customHeight="1">
      <c r="A899" s="5"/>
      <c r="B899" s="5"/>
      <c r="C899" s="8"/>
      <c r="D899" s="5"/>
      <c r="E899" s="5"/>
      <c r="F899" s="5"/>
      <c r="G899" s="8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ht="12.75" customHeight="1">
      <c r="A900" s="5"/>
      <c r="B900" s="5"/>
      <c r="C900" s="8"/>
      <c r="D900" s="5"/>
      <c r="E900" s="5"/>
      <c r="F900" s="5"/>
      <c r="G900" s="8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ht="12.75" customHeight="1">
      <c r="A901" s="5"/>
      <c r="B901" s="5"/>
      <c r="C901" s="8"/>
      <c r="D901" s="5"/>
      <c r="E901" s="5"/>
      <c r="F901" s="5"/>
      <c r="G901" s="8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ht="12.75" customHeight="1">
      <c r="A902" s="5"/>
      <c r="B902" s="5"/>
      <c r="C902" s="8"/>
      <c r="D902" s="5"/>
      <c r="E902" s="5"/>
      <c r="F902" s="5"/>
      <c r="G902" s="8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ht="12.75" customHeight="1">
      <c r="A903" s="5"/>
      <c r="B903" s="5"/>
      <c r="C903" s="8"/>
      <c r="D903" s="5"/>
      <c r="E903" s="5"/>
      <c r="F903" s="5"/>
      <c r="G903" s="8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ht="12.75" customHeight="1">
      <c r="A904" s="5"/>
      <c r="B904" s="5"/>
      <c r="C904" s="8"/>
      <c r="D904" s="5"/>
      <c r="E904" s="5"/>
      <c r="F904" s="5"/>
      <c r="G904" s="8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ht="12.75" customHeight="1">
      <c r="A905" s="5"/>
      <c r="B905" s="5"/>
      <c r="C905" s="8"/>
      <c r="D905" s="5"/>
      <c r="E905" s="5"/>
      <c r="F905" s="5"/>
      <c r="G905" s="8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ht="12.75" customHeight="1">
      <c r="A906" s="5"/>
      <c r="B906" s="5"/>
      <c r="C906" s="8"/>
      <c r="D906" s="5"/>
      <c r="E906" s="5"/>
      <c r="F906" s="5"/>
      <c r="G906" s="8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ht="12.75" customHeight="1">
      <c r="A907" s="5"/>
      <c r="B907" s="5"/>
      <c r="C907" s="8"/>
      <c r="D907" s="5"/>
      <c r="E907" s="5"/>
      <c r="F907" s="5"/>
      <c r="G907" s="8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ht="12.75" customHeight="1">
      <c r="A908" s="5"/>
      <c r="B908" s="5"/>
      <c r="C908" s="8"/>
      <c r="D908" s="5"/>
      <c r="E908" s="5"/>
      <c r="F908" s="5"/>
      <c r="G908" s="8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ht="12.75" customHeight="1">
      <c r="A909" s="5"/>
      <c r="B909" s="5"/>
      <c r="C909" s="8"/>
      <c r="D909" s="5"/>
      <c r="E909" s="5"/>
      <c r="F909" s="5"/>
      <c r="G909" s="8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ht="12.75" customHeight="1">
      <c r="A910" s="5"/>
      <c r="B910" s="5"/>
      <c r="C910" s="8"/>
      <c r="D910" s="5"/>
      <c r="E910" s="5"/>
      <c r="F910" s="5"/>
      <c r="G910" s="8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ht="12.75" customHeight="1">
      <c r="A911" s="5"/>
      <c r="B911" s="5"/>
      <c r="C911" s="8"/>
      <c r="D911" s="5"/>
      <c r="E911" s="5"/>
      <c r="F911" s="5"/>
      <c r="G911" s="8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ht="12.75" customHeight="1">
      <c r="A912" s="5"/>
      <c r="B912" s="5"/>
      <c r="C912" s="8"/>
      <c r="D912" s="5"/>
      <c r="E912" s="5"/>
      <c r="F912" s="5"/>
      <c r="G912" s="8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ht="12.75" customHeight="1">
      <c r="A913" s="5"/>
      <c r="B913" s="5"/>
      <c r="C913" s="8"/>
      <c r="D913" s="5"/>
      <c r="E913" s="5"/>
      <c r="F913" s="5"/>
      <c r="G913" s="8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ht="12.75" customHeight="1">
      <c r="A914" s="5"/>
      <c r="B914" s="5"/>
      <c r="C914" s="8"/>
      <c r="D914" s="5"/>
      <c r="E914" s="5"/>
      <c r="F914" s="5"/>
      <c r="G914" s="8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ht="12.75" customHeight="1">
      <c r="A915" s="5"/>
      <c r="B915" s="5"/>
      <c r="C915" s="8"/>
      <c r="D915" s="5"/>
      <c r="E915" s="5"/>
      <c r="F915" s="5"/>
      <c r="G915" s="8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ht="12.75" customHeight="1">
      <c r="A916" s="5"/>
      <c r="B916" s="5"/>
      <c r="C916" s="8"/>
      <c r="D916" s="5"/>
      <c r="E916" s="5"/>
      <c r="F916" s="5"/>
      <c r="G916" s="8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ht="12.75" customHeight="1">
      <c r="A917" s="5"/>
      <c r="B917" s="5"/>
      <c r="C917" s="8"/>
      <c r="D917" s="5"/>
      <c r="E917" s="5"/>
      <c r="F917" s="5"/>
      <c r="G917" s="8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ht="12.75" customHeight="1">
      <c r="A918" s="5"/>
      <c r="B918" s="5"/>
      <c r="C918" s="8"/>
      <c r="D918" s="5"/>
      <c r="E918" s="5"/>
      <c r="F918" s="5"/>
      <c r="G918" s="8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ht="12.75" customHeight="1">
      <c r="A919" s="5"/>
      <c r="B919" s="5"/>
      <c r="C919" s="8"/>
      <c r="D919" s="5"/>
      <c r="E919" s="5"/>
      <c r="F919" s="5"/>
      <c r="G919" s="8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ht="12.75" customHeight="1">
      <c r="A920" s="5"/>
      <c r="B920" s="5"/>
      <c r="C920" s="8"/>
      <c r="D920" s="5"/>
      <c r="E920" s="5"/>
      <c r="F920" s="5"/>
      <c r="G920" s="8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ht="12.75" customHeight="1">
      <c r="A921" s="5"/>
      <c r="B921" s="5"/>
      <c r="C921" s="8"/>
      <c r="D921" s="5"/>
      <c r="E921" s="5"/>
      <c r="F921" s="5"/>
      <c r="G921" s="8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ht="12.75" customHeight="1">
      <c r="A922" s="5"/>
      <c r="B922" s="5"/>
      <c r="C922" s="8"/>
      <c r="D922" s="5"/>
      <c r="E922" s="5"/>
      <c r="F922" s="5"/>
      <c r="G922" s="8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ht="12.75" customHeight="1">
      <c r="A923" s="5"/>
      <c r="B923" s="5"/>
      <c r="C923" s="8"/>
      <c r="D923" s="5"/>
      <c r="E923" s="5"/>
      <c r="F923" s="5"/>
      <c r="G923" s="8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ht="12.75" customHeight="1">
      <c r="A924" s="5"/>
      <c r="B924" s="5"/>
      <c r="C924" s="8"/>
      <c r="D924" s="5"/>
      <c r="E924" s="5"/>
      <c r="F924" s="5"/>
      <c r="G924" s="8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ht="12.75" customHeight="1">
      <c r="A925" s="5"/>
      <c r="B925" s="5"/>
      <c r="C925" s="8"/>
      <c r="D925" s="5"/>
      <c r="E925" s="5"/>
      <c r="F925" s="5"/>
      <c r="G925" s="8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ht="12.75" customHeight="1">
      <c r="A926" s="5"/>
      <c r="B926" s="5"/>
      <c r="C926" s="8"/>
      <c r="D926" s="5"/>
      <c r="E926" s="5"/>
      <c r="F926" s="5"/>
      <c r="G926" s="8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ht="12.75" customHeight="1">
      <c r="A927" s="5"/>
      <c r="B927" s="5"/>
      <c r="C927" s="8"/>
      <c r="D927" s="5"/>
      <c r="E927" s="5"/>
      <c r="F927" s="5"/>
      <c r="G927" s="8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ht="12.75" customHeight="1">
      <c r="A928" s="5"/>
      <c r="B928" s="5"/>
      <c r="C928" s="8"/>
      <c r="D928" s="5"/>
      <c r="E928" s="5"/>
      <c r="F928" s="5"/>
      <c r="G928" s="8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ht="12.75" customHeight="1">
      <c r="A929" s="5"/>
      <c r="B929" s="5"/>
      <c r="C929" s="8"/>
      <c r="D929" s="5"/>
      <c r="E929" s="5"/>
      <c r="F929" s="5"/>
      <c r="G929" s="8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ht="12.75" customHeight="1">
      <c r="A930" s="5"/>
      <c r="B930" s="5"/>
      <c r="C930" s="8"/>
      <c r="D930" s="5"/>
      <c r="E930" s="5"/>
      <c r="F930" s="5"/>
      <c r="G930" s="8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ht="12.75" customHeight="1">
      <c r="A931" s="5"/>
      <c r="B931" s="5"/>
      <c r="C931" s="8"/>
      <c r="D931" s="5"/>
      <c r="E931" s="5"/>
      <c r="F931" s="5"/>
      <c r="G931" s="8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ht="12.75" customHeight="1">
      <c r="A932" s="5"/>
      <c r="B932" s="5"/>
      <c r="C932" s="8"/>
      <c r="D932" s="5"/>
      <c r="E932" s="5"/>
      <c r="F932" s="5"/>
      <c r="G932" s="8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ht="12.75" customHeight="1">
      <c r="A933" s="5"/>
      <c r="B933" s="5"/>
      <c r="C933" s="8"/>
      <c r="D933" s="5"/>
      <c r="E933" s="5"/>
      <c r="F933" s="5"/>
      <c r="G933" s="8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ht="12.75" customHeight="1">
      <c r="A934" s="5"/>
      <c r="B934" s="5"/>
      <c r="C934" s="8"/>
      <c r="D934" s="5"/>
      <c r="E934" s="5"/>
      <c r="F934" s="5"/>
      <c r="G934" s="8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ht="12.75" customHeight="1">
      <c r="A935" s="5"/>
      <c r="B935" s="5"/>
      <c r="C935" s="8"/>
      <c r="D935" s="5"/>
      <c r="E935" s="5"/>
      <c r="F935" s="5"/>
      <c r="G935" s="8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ht="12.75" customHeight="1">
      <c r="A936" s="5"/>
      <c r="B936" s="5"/>
      <c r="C936" s="8"/>
      <c r="D936" s="5"/>
      <c r="E936" s="5"/>
      <c r="F936" s="5"/>
      <c r="G936" s="8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ht="12.75" customHeight="1">
      <c r="A937" s="5"/>
      <c r="B937" s="5"/>
      <c r="C937" s="8"/>
      <c r="D937" s="5"/>
      <c r="E937" s="5"/>
      <c r="F937" s="5"/>
      <c r="G937" s="8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ht="12.75" customHeight="1">
      <c r="A938" s="5"/>
      <c r="B938" s="5"/>
      <c r="C938" s="8"/>
      <c r="D938" s="5"/>
      <c r="E938" s="5"/>
      <c r="F938" s="5"/>
      <c r="G938" s="8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ht="12.75" customHeight="1">
      <c r="A939" s="5"/>
      <c r="B939" s="5"/>
      <c r="C939" s="8"/>
      <c r="D939" s="5"/>
      <c r="E939" s="5"/>
      <c r="F939" s="5"/>
      <c r="G939" s="8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ht="12.75" customHeight="1">
      <c r="A940" s="5"/>
      <c r="B940" s="5"/>
      <c r="C940" s="8"/>
      <c r="D940" s="5"/>
      <c r="E940" s="5"/>
      <c r="F940" s="5"/>
      <c r="G940" s="8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ht="12.75" customHeight="1">
      <c r="A941" s="5"/>
      <c r="B941" s="5"/>
      <c r="C941" s="8"/>
      <c r="D941" s="5"/>
      <c r="E941" s="5"/>
      <c r="F941" s="5"/>
      <c r="G941" s="8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ht="12.75" customHeight="1">
      <c r="A942" s="5"/>
      <c r="B942" s="5"/>
      <c r="C942" s="8"/>
      <c r="D942" s="5"/>
      <c r="E942" s="5"/>
      <c r="F942" s="5"/>
      <c r="G942" s="8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ht="12.75" customHeight="1">
      <c r="A943" s="5"/>
      <c r="B943" s="5"/>
      <c r="C943" s="8"/>
      <c r="D943" s="5"/>
      <c r="E943" s="5"/>
      <c r="F943" s="5"/>
      <c r="G943" s="8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ht="12.75" customHeight="1">
      <c r="A944" s="5"/>
      <c r="B944" s="5"/>
      <c r="C944" s="8"/>
      <c r="D944" s="5"/>
      <c r="E944" s="5"/>
      <c r="F944" s="5"/>
      <c r="G944" s="8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ht="12.75" customHeight="1">
      <c r="A945" s="5"/>
      <c r="B945" s="5"/>
      <c r="C945" s="8"/>
      <c r="D945" s="5"/>
      <c r="E945" s="5"/>
      <c r="F945" s="5"/>
      <c r="G945" s="8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ht="12.75" customHeight="1">
      <c r="A946" s="5"/>
      <c r="B946" s="5"/>
      <c r="C946" s="8"/>
      <c r="D946" s="5"/>
      <c r="E946" s="5"/>
      <c r="F946" s="5"/>
      <c r="G946" s="8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ht="12.75" customHeight="1">
      <c r="A947" s="5"/>
      <c r="B947" s="5"/>
      <c r="C947" s="8"/>
      <c r="D947" s="5"/>
      <c r="E947" s="5"/>
      <c r="F947" s="5"/>
      <c r="G947" s="8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ht="12.75" customHeight="1">
      <c r="A948" s="5"/>
      <c r="B948" s="5"/>
      <c r="C948" s="8"/>
      <c r="D948" s="5"/>
      <c r="E948" s="5"/>
      <c r="F948" s="5"/>
      <c r="G948" s="8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ht="12.75" customHeight="1">
      <c r="A949" s="5"/>
      <c r="B949" s="5"/>
      <c r="C949" s="8"/>
      <c r="D949" s="5"/>
      <c r="E949" s="5"/>
      <c r="F949" s="5"/>
      <c r="G949" s="8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ht="12.75" customHeight="1">
      <c r="A950" s="5"/>
      <c r="B950" s="5"/>
      <c r="C950" s="8"/>
      <c r="D950" s="5"/>
      <c r="E950" s="5"/>
      <c r="F950" s="5"/>
      <c r="G950" s="8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ht="12.75" customHeight="1">
      <c r="A951" s="5"/>
      <c r="B951" s="5"/>
      <c r="C951" s="8"/>
      <c r="D951" s="5"/>
      <c r="E951" s="5"/>
      <c r="F951" s="5"/>
      <c r="G951" s="8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ht="12.75" customHeight="1">
      <c r="A952" s="5"/>
      <c r="B952" s="5"/>
      <c r="C952" s="8"/>
      <c r="D952" s="5"/>
      <c r="E952" s="5"/>
      <c r="F952" s="5"/>
      <c r="G952" s="8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ht="12.75" customHeight="1">
      <c r="A953" s="5"/>
      <c r="B953" s="5"/>
      <c r="C953" s="8"/>
      <c r="D953" s="5"/>
      <c r="E953" s="5"/>
      <c r="F953" s="5"/>
      <c r="G953" s="8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ht="12.75" customHeight="1">
      <c r="A954" s="5"/>
      <c r="B954" s="5"/>
      <c r="C954" s="8"/>
      <c r="D954" s="5"/>
      <c r="E954" s="5"/>
      <c r="F954" s="5"/>
      <c r="G954" s="8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ht="12.75" customHeight="1">
      <c r="A955" s="5"/>
      <c r="B955" s="5"/>
      <c r="C955" s="8"/>
      <c r="D955" s="5"/>
      <c r="E955" s="5"/>
      <c r="F955" s="5"/>
      <c r="G955" s="8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ht="12.75" customHeight="1">
      <c r="A956" s="5"/>
      <c r="B956" s="5"/>
      <c r="C956" s="8"/>
      <c r="D956" s="5"/>
      <c r="E956" s="5"/>
      <c r="F956" s="5"/>
      <c r="G956" s="8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ht="12.75" customHeight="1">
      <c r="A957" s="5"/>
      <c r="B957" s="5"/>
      <c r="C957" s="8"/>
      <c r="D957" s="5"/>
      <c r="E957" s="5"/>
      <c r="F957" s="5"/>
      <c r="G957" s="8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ht="12.75" customHeight="1">
      <c r="A958" s="5"/>
      <c r="B958" s="5"/>
      <c r="C958" s="8"/>
      <c r="D958" s="5"/>
      <c r="E958" s="5"/>
      <c r="F958" s="5"/>
      <c r="G958" s="8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ht="12.75" customHeight="1">
      <c r="A959" s="5"/>
      <c r="B959" s="5"/>
      <c r="C959" s="8"/>
      <c r="D959" s="5"/>
      <c r="E959" s="5"/>
      <c r="F959" s="5"/>
      <c r="G959" s="8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ht="12.75" customHeight="1">
      <c r="A960" s="5"/>
      <c r="B960" s="5"/>
      <c r="C960" s="8"/>
      <c r="D960" s="5"/>
      <c r="E960" s="5"/>
      <c r="F960" s="5"/>
      <c r="G960" s="8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ht="12.75" customHeight="1">
      <c r="A961" s="5"/>
      <c r="B961" s="5"/>
      <c r="C961" s="8"/>
      <c r="D961" s="5"/>
      <c r="E961" s="5"/>
      <c r="F961" s="5"/>
      <c r="G961" s="8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ht="12.75" customHeight="1">
      <c r="A962" s="5"/>
      <c r="B962" s="5"/>
      <c r="C962" s="8"/>
      <c r="D962" s="5"/>
      <c r="E962" s="5"/>
      <c r="F962" s="5"/>
      <c r="G962" s="8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ht="12.75" customHeight="1">
      <c r="A963" s="5"/>
      <c r="B963" s="5"/>
      <c r="C963" s="8"/>
      <c r="D963" s="5"/>
      <c r="E963" s="5"/>
      <c r="F963" s="5"/>
      <c r="G963" s="8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ht="12.75" customHeight="1">
      <c r="A964" s="5"/>
      <c r="B964" s="5"/>
      <c r="C964" s="8"/>
      <c r="D964" s="5"/>
      <c r="E964" s="5"/>
      <c r="F964" s="5"/>
      <c r="G964" s="8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ht="12.75" customHeight="1">
      <c r="A965" s="5"/>
      <c r="B965" s="5"/>
      <c r="C965" s="8"/>
      <c r="D965" s="5"/>
      <c r="E965" s="5"/>
      <c r="F965" s="5"/>
      <c r="G965" s="8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ht="12.75" customHeight="1">
      <c r="A966" s="5"/>
      <c r="B966" s="5"/>
      <c r="C966" s="8"/>
      <c r="D966" s="5"/>
      <c r="E966" s="5"/>
      <c r="F966" s="5"/>
      <c r="G966" s="8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ht="12.75" customHeight="1">
      <c r="A967" s="5"/>
      <c r="B967" s="5"/>
      <c r="C967" s="8"/>
      <c r="D967" s="5"/>
      <c r="E967" s="5"/>
      <c r="F967" s="5"/>
      <c r="G967" s="8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ht="12.75" customHeight="1">
      <c r="A968" s="5"/>
      <c r="B968" s="5"/>
      <c r="C968" s="8"/>
      <c r="D968" s="5"/>
      <c r="E968" s="5"/>
      <c r="F968" s="5"/>
      <c r="G968" s="8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ht="12.75" customHeight="1">
      <c r="A969" s="5"/>
      <c r="B969" s="5"/>
      <c r="C969" s="8"/>
      <c r="D969" s="5"/>
      <c r="E969" s="5"/>
      <c r="F969" s="5"/>
      <c r="G969" s="8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ht="12.75" customHeight="1">
      <c r="A970" s="5"/>
      <c r="B970" s="5"/>
      <c r="C970" s="8"/>
      <c r="D970" s="5"/>
      <c r="E970" s="5"/>
      <c r="F970" s="5"/>
      <c r="G970" s="8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ht="12.75" customHeight="1">
      <c r="A971" s="5"/>
      <c r="B971" s="5"/>
      <c r="C971" s="8"/>
      <c r="D971" s="5"/>
      <c r="E971" s="5"/>
      <c r="F971" s="5"/>
      <c r="G971" s="8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ht="12.75" customHeight="1">
      <c r="A972" s="5"/>
      <c r="B972" s="5"/>
      <c r="C972" s="8"/>
      <c r="D972" s="5"/>
      <c r="E972" s="5"/>
      <c r="F972" s="5"/>
      <c r="G972" s="8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ht="12.75" customHeight="1">
      <c r="A973" s="5"/>
      <c r="B973" s="5"/>
      <c r="C973" s="8"/>
      <c r="D973" s="5"/>
      <c r="E973" s="5"/>
      <c r="F973" s="5"/>
      <c r="G973" s="8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ht="12.75" customHeight="1">
      <c r="A974" s="5"/>
      <c r="B974" s="5"/>
      <c r="C974" s="8"/>
      <c r="D974" s="5"/>
      <c r="E974" s="5"/>
      <c r="F974" s="5"/>
      <c r="G974" s="8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ht="12.75" customHeight="1">
      <c r="A975" s="5"/>
      <c r="B975" s="5"/>
      <c r="C975" s="8"/>
      <c r="D975" s="5"/>
      <c r="E975" s="5"/>
      <c r="F975" s="5"/>
      <c r="G975" s="8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ht="12.75" customHeight="1">
      <c r="A976" s="5"/>
      <c r="B976" s="5"/>
      <c r="C976" s="8"/>
      <c r="D976" s="5"/>
      <c r="E976" s="5"/>
      <c r="F976" s="5"/>
      <c r="G976" s="8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ht="12.75" customHeight="1">
      <c r="A977" s="5"/>
      <c r="B977" s="5"/>
      <c r="C977" s="8"/>
      <c r="D977" s="5"/>
      <c r="E977" s="5"/>
      <c r="F977" s="5"/>
      <c r="G977" s="8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ht="12.75" customHeight="1">
      <c r="A978" s="5"/>
      <c r="B978" s="5"/>
      <c r="C978" s="8"/>
      <c r="D978" s="5"/>
      <c r="E978" s="5"/>
      <c r="F978" s="5"/>
      <c r="G978" s="8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ht="12.75" customHeight="1">
      <c r="A979" s="5"/>
      <c r="B979" s="5"/>
      <c r="C979" s="8"/>
      <c r="D979" s="5"/>
      <c r="E979" s="5"/>
      <c r="F979" s="5"/>
      <c r="G979" s="8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ht="12.75" customHeight="1">
      <c r="A980" s="5"/>
      <c r="B980" s="5"/>
      <c r="C980" s="8"/>
      <c r="D980" s="5"/>
      <c r="E980" s="5"/>
      <c r="F980" s="5"/>
      <c r="G980" s="8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ht="12.75" customHeight="1">
      <c r="A981" s="5"/>
      <c r="B981" s="5"/>
      <c r="C981" s="8"/>
      <c r="D981" s="5"/>
      <c r="E981" s="5"/>
      <c r="F981" s="5"/>
      <c r="G981" s="8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ht="12.75" customHeight="1">
      <c r="A982" s="5"/>
      <c r="B982" s="5"/>
      <c r="C982" s="8"/>
      <c r="D982" s="5"/>
      <c r="E982" s="5"/>
      <c r="F982" s="5"/>
      <c r="G982" s="8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ht="12.75" customHeight="1">
      <c r="A983" s="5"/>
      <c r="B983" s="5"/>
      <c r="C983" s="8"/>
      <c r="D983" s="5"/>
      <c r="E983" s="5"/>
      <c r="F983" s="5"/>
      <c r="G983" s="8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ht="12.75" customHeight="1">
      <c r="A984" s="5"/>
      <c r="B984" s="5"/>
      <c r="C984" s="8"/>
      <c r="D984" s="5"/>
      <c r="E984" s="5"/>
      <c r="F984" s="5"/>
      <c r="G984" s="8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ht="12.75" customHeight="1">
      <c r="A985" s="5"/>
      <c r="B985" s="5"/>
      <c r="C985" s="8"/>
      <c r="D985" s="5"/>
      <c r="E985" s="5"/>
      <c r="F985" s="5"/>
      <c r="G985" s="8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ht="12.75" customHeight="1">
      <c r="A986" s="5"/>
      <c r="B986" s="5"/>
      <c r="C986" s="8"/>
      <c r="D986" s="5"/>
      <c r="E986" s="5"/>
      <c r="F986" s="5"/>
      <c r="G986" s="8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ht="12.75" customHeight="1">
      <c r="A987" s="5"/>
      <c r="B987" s="5"/>
      <c r="C987" s="8"/>
      <c r="D987" s="5"/>
      <c r="E987" s="5"/>
      <c r="F987" s="5"/>
      <c r="G987" s="8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ht="12.75" customHeight="1">
      <c r="A988" s="5"/>
      <c r="B988" s="5"/>
      <c r="C988" s="8"/>
      <c r="D988" s="5"/>
      <c r="E988" s="5"/>
      <c r="F988" s="5"/>
      <c r="G988" s="8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ht="12.75" customHeight="1">
      <c r="A989" s="5"/>
      <c r="B989" s="5"/>
      <c r="C989" s="8"/>
      <c r="D989" s="5"/>
      <c r="E989" s="5"/>
      <c r="F989" s="5"/>
      <c r="G989" s="8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ht="12.75" customHeight="1">
      <c r="A990" s="5"/>
      <c r="B990" s="5"/>
      <c r="C990" s="8"/>
      <c r="D990" s="5"/>
      <c r="E990" s="5"/>
      <c r="F990" s="5"/>
      <c r="G990" s="8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ht="12.75" customHeight="1">
      <c r="A991" s="5"/>
      <c r="B991" s="5"/>
      <c r="C991" s="8"/>
      <c r="D991" s="5"/>
      <c r="E991" s="5"/>
      <c r="F991" s="5"/>
      <c r="G991" s="8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ht="12.75" customHeight="1">
      <c r="A992" s="5"/>
      <c r="B992" s="5"/>
      <c r="C992" s="8"/>
      <c r="D992" s="5"/>
      <c r="E992" s="5"/>
      <c r="F992" s="5"/>
      <c r="G992" s="8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ht="12.75" customHeight="1">
      <c r="A993" s="5"/>
      <c r="B993" s="5"/>
      <c r="C993" s="8"/>
      <c r="D993" s="5"/>
      <c r="E993" s="5"/>
      <c r="F993" s="5"/>
      <c r="G993" s="8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ht="12.75" customHeight="1">
      <c r="A994" s="5"/>
      <c r="B994" s="5"/>
      <c r="C994" s="8"/>
      <c r="D994" s="5"/>
      <c r="E994" s="5"/>
      <c r="F994" s="5"/>
      <c r="G994" s="8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ht="12.75" customHeight="1">
      <c r="A995" s="5"/>
      <c r="B995" s="5"/>
      <c r="C995" s="8"/>
      <c r="D995" s="5"/>
      <c r="E995" s="5"/>
      <c r="F995" s="5"/>
      <c r="G995" s="8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ht="12.75" customHeight="1">
      <c r="A996" s="5"/>
      <c r="B996" s="5"/>
      <c r="C996" s="8"/>
      <c r="D996" s="5"/>
      <c r="E996" s="5"/>
      <c r="F996" s="5"/>
      <c r="G996" s="8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ht="12.75" customHeight="1">
      <c r="A997" s="5"/>
      <c r="B997" s="5"/>
      <c r="C997" s="8"/>
      <c r="D997" s="5"/>
      <c r="E997" s="5"/>
      <c r="F997" s="5"/>
      <c r="G997" s="8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ht="12.75" customHeight="1">
      <c r="A998" s="5"/>
      <c r="B998" s="5"/>
      <c r="C998" s="8"/>
      <c r="D998" s="5"/>
      <c r="E998" s="5"/>
      <c r="F998" s="5"/>
      <c r="G998" s="8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ht="12.75" customHeight="1">
      <c r="A999" s="5"/>
      <c r="B999" s="5"/>
      <c r="C999" s="8"/>
      <c r="D999" s="5"/>
      <c r="E999" s="5"/>
      <c r="F999" s="5"/>
      <c r="G999" s="8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 ht="12.75" customHeight="1">
      <c r="A1000" s="5"/>
      <c r="B1000" s="5"/>
      <c r="C1000" s="8"/>
      <c r="D1000" s="5"/>
      <c r="E1000" s="5"/>
      <c r="F1000" s="5"/>
      <c r="G1000" s="8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</sheetData>
  <mergeCells count="3">
    <mergeCell ref="A1:V1"/>
    <mergeCell ref="A3:V3"/>
    <mergeCell ref="A5:C5"/>
  </mergeCells>
  <conditionalFormatting sqref="E8:E107">
    <cfRule type="expression" dxfId="0" priority="1">
      <formula>AND($E8&lt;&gt;"",COUNTIF($E$8:$E$107,$E8)&gt;1)</formula>
    </cfRule>
  </conditionalFormatting>
  <dataValidations>
    <dataValidation type="list" allowBlank="1" showInputMessage="1" showErrorMessage="1" prompt="Entrada inválida - Escolha uma opção da lista suspensa." sqref="F8:F107">
      <formula1>Listas!$A$2:$A$16</formula1>
    </dataValidation>
    <dataValidation type="list" allowBlank="1" showInputMessage="1" showErrorMessage="1" prompt="Entrada inválida - Escolha uma opção da lista suspensa." sqref="I8:I107">
      <formula1>Listas!$C$2:$C$4</formula1>
    </dataValidation>
    <dataValidation type="custom" allowBlank="1" showInputMessage="1" showErrorMessage="1" prompt="Entrada inválida - Escolha uma opção da lista suspensa." sqref="E8:E107">
      <formula1>OR(AND(LEN(E8)=7,MID(E8,3,1)="/",IFERROR(VALUE(LEFT(E8,2)),-1)&gt;=1,IFERROR(VALUE(LEFT(E8,2)),-1)&lt;=99,IFERROR(VALUE(RIGHT(E8,4)),-1)&gt;=2000,IFERROR(VALUE(RIGHT(E8,4)),-1)&lt;=2100),AND(LEN(E8)=8,MID(E8,4,1)="/",LEFT(E8,1)&lt;&gt;"0",IFERROR(VALUE(LEFT(E8,3)),-1)&gt;=100,IFERROR(VALUE(LEFT(E8,3)),-1)&lt;=999,IFERROR(VALUE(RIGHT(E8,4)),-1)&gt;=2000,IFERROR(VALUE(RIGHT(E8,4)),-1)&lt;=2100))</formula1>
    </dataValidation>
    <dataValidation type="list" allowBlank="1" showInputMessage="1" showErrorMessage="1" prompt="Entrada inválida - Escolha uma opção da lista suspensa." sqref="G8:G107">
      <formula1>"Pregão Eletrônico,Pregão Presencial,Concorrência,Tomada de Preços,Convite,Dispensa,Inexigibilidade,Concurso,Leilão,Diálogo Competitivo"</formula1>
    </dataValidation>
    <dataValidation type="list" allowBlank="1" showInputMessage="1" showErrorMessage="1" prompt="Entrada inválida - Escolha uma opção da lista suspensa." sqref="J8:J107">
      <formula1>Listas!$B$2:$B$4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30.0"/>
    <col customWidth="1" min="3" max="3" width="34.0"/>
    <col customWidth="1" min="4" max="4" width="12.0"/>
    <col customWidth="1" min="5" max="5" width="14.0"/>
    <col customWidth="1" min="6" max="6" width="15.0"/>
    <col customWidth="1" min="7" max="7" width="16.0"/>
    <col customWidth="1" min="8" max="8" width="12.0"/>
    <col customWidth="1" min="9" max="9" width="20.0"/>
    <col customWidth="1" min="10" max="10" width="32.0"/>
    <col customWidth="1" min="11" max="11" width="26.0"/>
    <col customWidth="1" min="12" max="26" width="8.63"/>
  </cols>
  <sheetData>
    <row r="1" ht="24.0" customHeight="1">
      <c r="A1" s="3" t="s">
        <v>1</v>
      </c>
    </row>
    <row r="2" ht="6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ht="25.5" customHeight="1">
      <c r="A3" s="9" t="s">
        <v>4</v>
      </c>
      <c r="B3" s="4"/>
      <c r="C3" s="4"/>
      <c r="D3" s="4"/>
      <c r="E3" s="4"/>
      <c r="F3" s="4"/>
      <c r="G3" s="4"/>
      <c r="H3" s="4"/>
      <c r="I3" s="4"/>
      <c r="J3" s="4"/>
      <c r="K3" s="6"/>
    </row>
    <row r="4" ht="6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ht="19.5" customHeight="1">
      <c r="A5" s="13" t="s">
        <v>7</v>
      </c>
      <c r="B5" s="15"/>
      <c r="C5" s="16"/>
      <c r="D5" s="17"/>
      <c r="E5" s="17"/>
      <c r="F5" s="20">
        <f>SUM(F8:F107)</f>
        <v>1409000</v>
      </c>
      <c r="G5" s="17"/>
      <c r="H5" s="17"/>
      <c r="I5" s="17"/>
      <c r="J5" s="17"/>
      <c r="K5" s="17"/>
    </row>
    <row r="6" ht="6.0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ht="33.75" customHeight="1">
      <c r="A7" s="25" t="s">
        <v>19</v>
      </c>
      <c r="B7" s="25" t="s">
        <v>20</v>
      </c>
      <c r="C7" s="25" t="s">
        <v>21</v>
      </c>
      <c r="D7" s="25" t="s">
        <v>23</v>
      </c>
      <c r="E7" s="25" t="s">
        <v>24</v>
      </c>
      <c r="F7" s="25" t="s">
        <v>26</v>
      </c>
      <c r="G7" s="25" t="s">
        <v>29</v>
      </c>
      <c r="H7" s="25" t="s">
        <v>30</v>
      </c>
      <c r="I7" s="25" t="s">
        <v>33</v>
      </c>
      <c r="J7" s="25" t="s">
        <v>35</v>
      </c>
      <c r="K7" s="25" t="s">
        <v>37</v>
      </c>
    </row>
    <row r="8" ht="19.5" customHeight="1">
      <c r="A8" s="31">
        <v>1.0</v>
      </c>
      <c r="B8" s="33" t="s">
        <v>40</v>
      </c>
      <c r="C8" s="35" t="s">
        <v>51</v>
      </c>
      <c r="D8" s="36">
        <v>1.0</v>
      </c>
      <c r="E8" s="37" t="s">
        <v>56</v>
      </c>
      <c r="F8" s="38">
        <v>175000.0</v>
      </c>
      <c r="G8" s="35" t="s">
        <v>65</v>
      </c>
      <c r="H8" s="35" t="s">
        <v>72</v>
      </c>
      <c r="I8" s="40" t="s">
        <v>76</v>
      </c>
      <c r="J8" s="33" t="s">
        <v>80</v>
      </c>
      <c r="K8" s="41" t="s">
        <v>84</v>
      </c>
    </row>
    <row r="9" ht="19.5" customHeight="1">
      <c r="A9" s="31">
        <v>2.0</v>
      </c>
      <c r="B9" s="33" t="s">
        <v>90</v>
      </c>
      <c r="C9" s="35" t="s">
        <v>93</v>
      </c>
      <c r="D9" s="42">
        <v>1.0</v>
      </c>
      <c r="E9" s="44" t="s">
        <v>56</v>
      </c>
      <c r="F9" s="45">
        <v>25000.0</v>
      </c>
      <c r="G9" s="35" t="s">
        <v>65</v>
      </c>
      <c r="H9" s="35" t="s">
        <v>72</v>
      </c>
      <c r="I9" s="40" t="s">
        <v>76</v>
      </c>
      <c r="J9" s="46" t="s">
        <v>105</v>
      </c>
      <c r="K9" s="47" t="s">
        <v>110</v>
      </c>
    </row>
    <row r="10" ht="19.5" customHeight="1">
      <c r="A10" s="31">
        <v>3.0</v>
      </c>
      <c r="B10" s="33" t="s">
        <v>116</v>
      </c>
      <c r="C10" s="35" t="s">
        <v>93</v>
      </c>
      <c r="D10" s="42">
        <v>1.0</v>
      </c>
      <c r="E10" s="44" t="s">
        <v>56</v>
      </c>
      <c r="F10" s="45">
        <v>25000.0</v>
      </c>
      <c r="G10" s="35" t="s">
        <v>65</v>
      </c>
      <c r="H10" s="35" t="s">
        <v>72</v>
      </c>
      <c r="I10" s="40" t="s">
        <v>76</v>
      </c>
      <c r="J10" s="46" t="s">
        <v>131</v>
      </c>
      <c r="K10" s="47" t="s">
        <v>133</v>
      </c>
    </row>
    <row r="11" ht="19.5" customHeight="1">
      <c r="A11" s="31">
        <v>4.0</v>
      </c>
      <c r="B11" s="33" t="s">
        <v>135</v>
      </c>
      <c r="C11" s="35" t="s">
        <v>93</v>
      </c>
      <c r="D11" s="36">
        <v>121.0</v>
      </c>
      <c r="E11" s="37" t="s">
        <v>141</v>
      </c>
      <c r="F11" s="38">
        <v>15000.0</v>
      </c>
      <c r="G11" s="35" t="s">
        <v>65</v>
      </c>
      <c r="H11" s="35" t="s">
        <v>72</v>
      </c>
      <c r="I11" s="40" t="s">
        <v>76</v>
      </c>
      <c r="J11" s="33" t="s">
        <v>145</v>
      </c>
      <c r="K11" s="41" t="s">
        <v>146</v>
      </c>
    </row>
    <row r="12" ht="19.5" customHeight="1">
      <c r="A12" s="31">
        <v>5.0</v>
      </c>
      <c r="B12" s="33" t="s">
        <v>149</v>
      </c>
      <c r="C12" s="35" t="s">
        <v>93</v>
      </c>
      <c r="D12" s="42">
        <v>1.0</v>
      </c>
      <c r="E12" s="44" t="s">
        <v>56</v>
      </c>
      <c r="F12" s="45">
        <v>25000.0</v>
      </c>
      <c r="G12" s="35" t="s">
        <v>65</v>
      </c>
      <c r="H12" s="35" t="s">
        <v>72</v>
      </c>
      <c r="I12" s="40" t="s">
        <v>76</v>
      </c>
      <c r="J12" s="46" t="s">
        <v>154</v>
      </c>
      <c r="K12" s="47" t="s">
        <v>156</v>
      </c>
    </row>
    <row r="13" ht="19.5" customHeight="1">
      <c r="A13" s="31">
        <v>6.0</v>
      </c>
      <c r="B13" s="33" t="s">
        <v>158</v>
      </c>
      <c r="C13" s="35" t="s">
        <v>93</v>
      </c>
      <c r="D13" s="36">
        <v>1560.0</v>
      </c>
      <c r="E13" s="37" t="s">
        <v>161</v>
      </c>
      <c r="F13" s="38">
        <v>20000.0</v>
      </c>
      <c r="G13" s="35" t="s">
        <v>65</v>
      </c>
      <c r="H13" s="35" t="s">
        <v>72</v>
      </c>
      <c r="I13" s="40" t="s">
        <v>76</v>
      </c>
      <c r="J13" s="33" t="s">
        <v>164</v>
      </c>
      <c r="K13" s="41" t="s">
        <v>166</v>
      </c>
    </row>
    <row r="14" ht="19.5" customHeight="1">
      <c r="A14" s="31">
        <v>7.0</v>
      </c>
      <c r="B14" s="33" t="s">
        <v>167</v>
      </c>
      <c r="C14" s="35" t="s">
        <v>93</v>
      </c>
      <c r="D14" s="42">
        <v>1.0</v>
      </c>
      <c r="E14" s="44" t="s">
        <v>56</v>
      </c>
      <c r="F14" s="45">
        <v>20000.0</v>
      </c>
      <c r="G14" s="35" t="s">
        <v>65</v>
      </c>
      <c r="H14" s="35" t="s">
        <v>72</v>
      </c>
      <c r="I14" s="40" t="s">
        <v>76</v>
      </c>
      <c r="J14" s="46" t="s">
        <v>169</v>
      </c>
      <c r="K14" s="47" t="s">
        <v>172</v>
      </c>
    </row>
    <row r="15" ht="19.5" customHeight="1">
      <c r="A15" s="31">
        <v>8.0</v>
      </c>
      <c r="B15" s="33" t="s">
        <v>173</v>
      </c>
      <c r="C15" s="63"/>
      <c r="D15" s="42">
        <v>1.0</v>
      </c>
      <c r="E15" s="44" t="s">
        <v>174</v>
      </c>
      <c r="F15" s="45">
        <v>120000.0</v>
      </c>
      <c r="G15" s="35" t="s">
        <v>65</v>
      </c>
      <c r="H15" s="35" t="s">
        <v>72</v>
      </c>
      <c r="I15" s="40" t="s">
        <v>76</v>
      </c>
      <c r="J15" s="46" t="s">
        <v>176</v>
      </c>
      <c r="K15" s="47" t="s">
        <v>179</v>
      </c>
    </row>
    <row r="16" ht="19.5" customHeight="1">
      <c r="A16" s="31">
        <v>9.0</v>
      </c>
      <c r="B16" s="33" t="s">
        <v>181</v>
      </c>
      <c r="C16" s="63"/>
      <c r="D16" s="36">
        <v>1.0</v>
      </c>
      <c r="E16" s="37" t="s">
        <v>174</v>
      </c>
      <c r="F16" s="38">
        <v>70000.0</v>
      </c>
      <c r="G16" s="35" t="s">
        <v>65</v>
      </c>
      <c r="H16" s="35" t="s">
        <v>72</v>
      </c>
      <c r="I16" s="40" t="s">
        <v>76</v>
      </c>
      <c r="J16" s="33" t="s">
        <v>186</v>
      </c>
      <c r="K16" s="41" t="s">
        <v>179</v>
      </c>
    </row>
    <row r="17" ht="19.5" customHeight="1">
      <c r="A17" s="31">
        <v>10.0</v>
      </c>
      <c r="B17" s="33" t="s">
        <v>191</v>
      </c>
      <c r="C17" s="63"/>
      <c r="D17" s="42">
        <v>1.0</v>
      </c>
      <c r="E17" s="44" t="s">
        <v>174</v>
      </c>
      <c r="F17" s="45">
        <v>140000.0</v>
      </c>
      <c r="G17" s="35" t="s">
        <v>65</v>
      </c>
      <c r="H17" s="35" t="s">
        <v>72</v>
      </c>
      <c r="I17" s="40" t="s">
        <v>76</v>
      </c>
      <c r="J17" s="76" t="s">
        <v>195</v>
      </c>
      <c r="K17" s="77" t="s">
        <v>199</v>
      </c>
    </row>
    <row r="18" ht="19.5" customHeight="1">
      <c r="A18" s="31">
        <v>11.0</v>
      </c>
      <c r="B18" s="33" t="s">
        <v>200</v>
      </c>
      <c r="C18" s="35" t="s">
        <v>93</v>
      </c>
      <c r="D18" s="36">
        <v>50.0</v>
      </c>
      <c r="E18" s="37" t="s">
        <v>204</v>
      </c>
      <c r="F18" s="38">
        <v>20000.0</v>
      </c>
      <c r="G18" s="35" t="s">
        <v>65</v>
      </c>
      <c r="H18" s="35" t="s">
        <v>72</v>
      </c>
      <c r="I18" s="40" t="s">
        <v>76</v>
      </c>
      <c r="J18" s="33" t="s">
        <v>207</v>
      </c>
      <c r="K18" s="41" t="s">
        <v>208</v>
      </c>
    </row>
    <row r="19" ht="19.5" customHeight="1">
      <c r="A19" s="31">
        <v>12.0</v>
      </c>
      <c r="B19" s="33" t="s">
        <v>209</v>
      </c>
      <c r="C19" s="35" t="s">
        <v>93</v>
      </c>
      <c r="D19" s="36">
        <v>1.0</v>
      </c>
      <c r="E19" s="37" t="s">
        <v>210</v>
      </c>
      <c r="F19" s="38">
        <v>50000.0</v>
      </c>
      <c r="G19" s="35" t="s">
        <v>211</v>
      </c>
      <c r="H19" s="35" t="s">
        <v>72</v>
      </c>
      <c r="I19" s="40" t="s">
        <v>76</v>
      </c>
      <c r="J19" s="33" t="s">
        <v>213</v>
      </c>
      <c r="K19" s="41" t="s">
        <v>214</v>
      </c>
    </row>
    <row r="20" ht="19.5" customHeight="1">
      <c r="A20" s="31">
        <v>13.0</v>
      </c>
      <c r="B20" s="33" t="s">
        <v>215</v>
      </c>
      <c r="C20" s="35" t="s">
        <v>93</v>
      </c>
      <c r="D20" s="36">
        <v>40.0</v>
      </c>
      <c r="E20" s="37" t="s">
        <v>217</v>
      </c>
      <c r="F20" s="38">
        <v>80000.0</v>
      </c>
      <c r="G20" s="35" t="s">
        <v>65</v>
      </c>
      <c r="H20" s="35" t="s">
        <v>72</v>
      </c>
      <c r="I20" s="40" t="s">
        <v>76</v>
      </c>
      <c r="J20" s="33" t="s">
        <v>219</v>
      </c>
      <c r="K20" s="41" t="s">
        <v>222</v>
      </c>
    </row>
    <row r="21" ht="19.5" customHeight="1">
      <c r="A21" s="31">
        <v>14.0</v>
      </c>
      <c r="B21" s="33" t="s">
        <v>223</v>
      </c>
      <c r="C21" s="35" t="s">
        <v>93</v>
      </c>
      <c r="D21" s="42">
        <v>1.0</v>
      </c>
      <c r="E21" s="44" t="s">
        <v>56</v>
      </c>
      <c r="F21" s="45">
        <v>25000.0</v>
      </c>
      <c r="G21" s="35" t="s">
        <v>65</v>
      </c>
      <c r="H21" s="35" t="s">
        <v>72</v>
      </c>
      <c r="I21" s="40" t="s">
        <v>76</v>
      </c>
      <c r="J21" s="46" t="s">
        <v>227</v>
      </c>
      <c r="K21" s="47" t="s">
        <v>231</v>
      </c>
    </row>
    <row r="22" ht="19.5" customHeight="1">
      <c r="A22" s="31">
        <v>15.0</v>
      </c>
      <c r="B22" s="33" t="s">
        <v>233</v>
      </c>
      <c r="C22" s="35" t="s">
        <v>93</v>
      </c>
      <c r="D22" s="36">
        <v>15.0</v>
      </c>
      <c r="E22" s="37" t="s">
        <v>238</v>
      </c>
      <c r="F22" s="38">
        <v>25000.0</v>
      </c>
      <c r="G22" s="35" t="s">
        <v>65</v>
      </c>
      <c r="H22" s="35" t="s">
        <v>72</v>
      </c>
      <c r="I22" s="40" t="s">
        <v>76</v>
      </c>
      <c r="J22" s="33" t="s">
        <v>243</v>
      </c>
      <c r="K22" s="41" t="s">
        <v>245</v>
      </c>
    </row>
    <row r="23" ht="19.5" customHeight="1">
      <c r="A23" s="31">
        <v>16.0</v>
      </c>
      <c r="B23" s="33" t="s">
        <v>246</v>
      </c>
      <c r="C23" s="35" t="s">
        <v>51</v>
      </c>
      <c r="D23" s="42">
        <v>20.0</v>
      </c>
      <c r="E23" s="44" t="s">
        <v>248</v>
      </c>
      <c r="F23" s="45">
        <v>40000.0</v>
      </c>
      <c r="G23" s="35" t="s">
        <v>65</v>
      </c>
      <c r="H23" s="35" t="s">
        <v>251</v>
      </c>
      <c r="I23" s="40" t="s">
        <v>76</v>
      </c>
      <c r="J23" s="46" t="s">
        <v>252</v>
      </c>
      <c r="K23" s="47" t="s">
        <v>253</v>
      </c>
    </row>
    <row r="24" ht="19.5" customHeight="1">
      <c r="A24" s="31">
        <v>17.0</v>
      </c>
      <c r="B24" s="33" t="s">
        <v>254</v>
      </c>
      <c r="C24" s="35" t="s">
        <v>225</v>
      </c>
      <c r="D24" s="36">
        <v>1.0</v>
      </c>
      <c r="E24" s="37" t="s">
        <v>257</v>
      </c>
      <c r="F24" s="38">
        <v>50000.0</v>
      </c>
      <c r="G24" s="35" t="s">
        <v>65</v>
      </c>
      <c r="H24" s="35" t="s">
        <v>72</v>
      </c>
      <c r="I24" s="40" t="s">
        <v>76</v>
      </c>
      <c r="J24" s="94" t="s">
        <v>260</v>
      </c>
      <c r="K24" s="95" t="s">
        <v>263</v>
      </c>
    </row>
    <row r="25" ht="19.5" customHeight="1">
      <c r="A25" s="31">
        <v>18.0</v>
      </c>
      <c r="B25" s="33" t="s">
        <v>266</v>
      </c>
      <c r="C25" s="35" t="s">
        <v>225</v>
      </c>
      <c r="D25" s="42">
        <v>1.0</v>
      </c>
      <c r="E25" s="44" t="s">
        <v>257</v>
      </c>
      <c r="F25" s="45">
        <v>200000.0</v>
      </c>
      <c r="G25" s="35" t="s">
        <v>65</v>
      </c>
      <c r="H25" s="35" t="s">
        <v>72</v>
      </c>
      <c r="I25" s="40" t="s">
        <v>76</v>
      </c>
      <c r="J25" s="76" t="s">
        <v>272</v>
      </c>
      <c r="K25" s="77" t="s">
        <v>263</v>
      </c>
    </row>
    <row r="26" ht="19.5" customHeight="1">
      <c r="A26" s="31">
        <v>19.0</v>
      </c>
      <c r="B26" s="33" t="s">
        <v>275</v>
      </c>
      <c r="C26" s="35" t="s">
        <v>225</v>
      </c>
      <c r="D26" s="36">
        <v>1.0</v>
      </c>
      <c r="E26" s="37" t="s">
        <v>257</v>
      </c>
      <c r="F26" s="38">
        <v>15000.0</v>
      </c>
      <c r="G26" s="35" t="s">
        <v>65</v>
      </c>
      <c r="H26" s="35" t="s">
        <v>72</v>
      </c>
      <c r="I26" s="40" t="s">
        <v>76</v>
      </c>
      <c r="J26" s="94" t="s">
        <v>281</v>
      </c>
      <c r="K26" s="95" t="s">
        <v>263</v>
      </c>
    </row>
    <row r="27" ht="19.5" customHeight="1">
      <c r="A27" s="31">
        <v>20.0</v>
      </c>
      <c r="B27" s="33" t="s">
        <v>286</v>
      </c>
      <c r="C27" s="35" t="s">
        <v>225</v>
      </c>
      <c r="D27" s="42">
        <v>1.0</v>
      </c>
      <c r="E27" s="44" t="s">
        <v>257</v>
      </c>
      <c r="F27" s="45">
        <v>20000.0</v>
      </c>
      <c r="G27" s="35" t="s">
        <v>65</v>
      </c>
      <c r="H27" s="35" t="s">
        <v>72</v>
      </c>
      <c r="I27" s="40" t="s">
        <v>76</v>
      </c>
      <c r="J27" s="76" t="s">
        <v>292</v>
      </c>
      <c r="K27" s="77" t="s">
        <v>263</v>
      </c>
    </row>
    <row r="28" ht="19.5" customHeight="1">
      <c r="A28" s="31">
        <v>21.0</v>
      </c>
      <c r="B28" s="33" t="s">
        <v>293</v>
      </c>
      <c r="C28" s="35" t="s">
        <v>225</v>
      </c>
      <c r="D28" s="36">
        <v>1.0</v>
      </c>
      <c r="E28" s="37" t="s">
        <v>257</v>
      </c>
      <c r="F28" s="38">
        <v>20000.0</v>
      </c>
      <c r="G28" s="35" t="s">
        <v>65</v>
      </c>
      <c r="H28" s="35" t="s">
        <v>72</v>
      </c>
      <c r="I28" s="40" t="s">
        <v>76</v>
      </c>
      <c r="J28" s="94" t="s">
        <v>299</v>
      </c>
      <c r="K28" s="95" t="s">
        <v>263</v>
      </c>
    </row>
    <row r="29" ht="19.5" customHeight="1">
      <c r="A29" s="31">
        <v>22.0</v>
      </c>
      <c r="B29" s="33" t="s">
        <v>303</v>
      </c>
      <c r="C29" s="99" t="s">
        <v>225</v>
      </c>
      <c r="D29" s="42">
        <v>1.0</v>
      </c>
      <c r="E29" s="44" t="s">
        <v>257</v>
      </c>
      <c r="F29" s="45">
        <v>80000.0</v>
      </c>
      <c r="G29" s="35" t="s">
        <v>65</v>
      </c>
      <c r="H29" s="35" t="s">
        <v>72</v>
      </c>
      <c r="I29" s="40" t="s">
        <v>76</v>
      </c>
      <c r="J29" s="76" t="s">
        <v>312</v>
      </c>
      <c r="K29" s="77" t="s">
        <v>263</v>
      </c>
    </row>
    <row r="30" ht="19.5" customHeight="1">
      <c r="A30" s="31">
        <v>23.0</v>
      </c>
      <c r="B30" s="33" t="s">
        <v>314</v>
      </c>
      <c r="C30" s="99" t="s">
        <v>225</v>
      </c>
      <c r="D30" s="36">
        <v>1.0</v>
      </c>
      <c r="E30" s="37" t="s">
        <v>257</v>
      </c>
      <c r="F30" s="38">
        <v>20000.0</v>
      </c>
      <c r="G30" s="35" t="s">
        <v>65</v>
      </c>
      <c r="H30" s="35" t="s">
        <v>72</v>
      </c>
      <c r="I30" s="40" t="s">
        <v>76</v>
      </c>
      <c r="J30" s="94" t="s">
        <v>316</v>
      </c>
      <c r="K30" s="95" t="s">
        <v>263</v>
      </c>
    </row>
    <row r="31" ht="19.5" customHeight="1">
      <c r="A31" s="31">
        <v>24.0</v>
      </c>
      <c r="B31" s="33" t="s">
        <v>318</v>
      </c>
      <c r="C31" s="99" t="s">
        <v>225</v>
      </c>
      <c r="D31" s="42">
        <v>1.0</v>
      </c>
      <c r="E31" s="44" t="s">
        <v>257</v>
      </c>
      <c r="F31" s="45">
        <v>80000.0</v>
      </c>
      <c r="G31" s="35" t="s">
        <v>65</v>
      </c>
      <c r="H31" s="35" t="s">
        <v>72</v>
      </c>
      <c r="I31" s="40" t="s">
        <v>76</v>
      </c>
      <c r="J31" s="76" t="s">
        <v>321</v>
      </c>
      <c r="K31" s="77" t="s">
        <v>263</v>
      </c>
    </row>
    <row r="32" ht="19.5" customHeight="1">
      <c r="A32" s="31">
        <v>25.0</v>
      </c>
      <c r="B32" s="33" t="s">
        <v>324</v>
      </c>
      <c r="C32" s="99" t="s">
        <v>225</v>
      </c>
      <c r="D32" s="36">
        <v>1.0</v>
      </c>
      <c r="E32" s="37" t="s">
        <v>257</v>
      </c>
      <c r="F32" s="38">
        <v>25000.0</v>
      </c>
      <c r="G32" s="35" t="s">
        <v>65</v>
      </c>
      <c r="H32" s="35" t="s">
        <v>72</v>
      </c>
      <c r="I32" s="40" t="s">
        <v>76</v>
      </c>
      <c r="J32" s="94" t="s">
        <v>331</v>
      </c>
      <c r="K32" s="95" t="s">
        <v>263</v>
      </c>
    </row>
    <row r="33" ht="19.5" customHeight="1">
      <c r="A33" s="31">
        <v>26.0</v>
      </c>
      <c r="B33" s="33" t="s">
        <v>333</v>
      </c>
      <c r="C33" s="35" t="s">
        <v>237</v>
      </c>
      <c r="D33" s="42">
        <v>12.0</v>
      </c>
      <c r="E33" s="44" t="s">
        <v>336</v>
      </c>
      <c r="F33" s="45">
        <v>24000.0</v>
      </c>
      <c r="G33" s="35" t="s">
        <v>65</v>
      </c>
      <c r="H33" s="35" t="s">
        <v>72</v>
      </c>
      <c r="I33" s="40" t="s">
        <v>76</v>
      </c>
      <c r="J33" s="76" t="s">
        <v>340</v>
      </c>
      <c r="K33" s="77" t="s">
        <v>343</v>
      </c>
    </row>
    <row r="34" ht="19.5" customHeight="1">
      <c r="A34" s="31">
        <v>27.0</v>
      </c>
      <c r="B34" s="106"/>
      <c r="C34" s="107"/>
      <c r="D34" s="108"/>
      <c r="E34" s="88"/>
      <c r="F34" s="109"/>
      <c r="G34" s="107"/>
      <c r="H34" s="107"/>
      <c r="I34" s="110"/>
      <c r="J34" s="106"/>
      <c r="K34" s="106"/>
    </row>
    <row r="35" ht="19.5" customHeight="1">
      <c r="A35" s="31">
        <v>28.0</v>
      </c>
      <c r="B35" s="111"/>
      <c r="C35" s="107"/>
      <c r="D35" s="112"/>
      <c r="E35" s="114"/>
      <c r="F35" s="115"/>
      <c r="G35" s="107"/>
      <c r="H35" s="107"/>
      <c r="I35" s="110"/>
      <c r="J35" s="111"/>
      <c r="K35" s="111"/>
    </row>
    <row r="36" ht="19.5" customHeight="1">
      <c r="A36" s="31">
        <v>29.0</v>
      </c>
      <c r="B36" s="106"/>
      <c r="C36" s="107"/>
      <c r="D36" s="108"/>
      <c r="E36" s="88"/>
      <c r="F36" s="109"/>
      <c r="G36" s="107"/>
      <c r="H36" s="107"/>
      <c r="I36" s="110"/>
      <c r="J36" s="106"/>
      <c r="K36" s="106"/>
    </row>
    <row r="37" ht="19.5" customHeight="1">
      <c r="A37" s="31">
        <v>30.0</v>
      </c>
      <c r="B37" s="111"/>
      <c r="C37" s="107"/>
      <c r="D37" s="112"/>
      <c r="E37" s="114"/>
      <c r="F37" s="115"/>
      <c r="G37" s="107"/>
      <c r="H37" s="107"/>
      <c r="I37" s="110"/>
      <c r="J37" s="111"/>
      <c r="K37" s="111"/>
    </row>
    <row r="38" ht="19.5" customHeight="1">
      <c r="A38" s="31">
        <v>31.0</v>
      </c>
      <c r="B38" s="106"/>
      <c r="C38" s="107"/>
      <c r="D38" s="108"/>
      <c r="E38" s="88"/>
      <c r="F38" s="109"/>
      <c r="G38" s="107"/>
      <c r="H38" s="107"/>
      <c r="I38" s="110"/>
      <c r="J38" s="106"/>
      <c r="K38" s="106"/>
    </row>
    <row r="39" ht="19.5" customHeight="1">
      <c r="A39" s="31">
        <v>32.0</v>
      </c>
      <c r="B39" s="111"/>
      <c r="C39" s="107"/>
      <c r="D39" s="112"/>
      <c r="E39" s="114"/>
      <c r="F39" s="115"/>
      <c r="G39" s="107"/>
      <c r="H39" s="107"/>
      <c r="I39" s="110"/>
      <c r="J39" s="111"/>
      <c r="K39" s="111"/>
    </row>
    <row r="40" ht="19.5" customHeight="1">
      <c r="A40" s="31">
        <v>33.0</v>
      </c>
      <c r="B40" s="106"/>
      <c r="C40" s="107"/>
      <c r="D40" s="108"/>
      <c r="E40" s="88"/>
      <c r="F40" s="109"/>
      <c r="G40" s="107"/>
      <c r="H40" s="107"/>
      <c r="I40" s="110"/>
      <c r="J40" s="106"/>
      <c r="K40" s="106"/>
    </row>
    <row r="41" ht="19.5" customHeight="1">
      <c r="A41" s="31">
        <v>34.0</v>
      </c>
      <c r="B41" s="111"/>
      <c r="C41" s="107"/>
      <c r="D41" s="112"/>
      <c r="E41" s="114"/>
      <c r="F41" s="115"/>
      <c r="G41" s="107"/>
      <c r="H41" s="107"/>
      <c r="I41" s="110"/>
      <c r="J41" s="111"/>
      <c r="K41" s="111"/>
    </row>
    <row r="42" ht="19.5" customHeight="1">
      <c r="A42" s="31">
        <v>35.0</v>
      </c>
      <c r="B42" s="106"/>
      <c r="C42" s="107"/>
      <c r="D42" s="108"/>
      <c r="E42" s="88"/>
      <c r="F42" s="109"/>
      <c r="G42" s="107"/>
      <c r="H42" s="107"/>
      <c r="I42" s="110"/>
      <c r="J42" s="106"/>
      <c r="K42" s="106"/>
    </row>
    <row r="43" ht="19.5" customHeight="1">
      <c r="A43" s="31">
        <v>36.0</v>
      </c>
      <c r="B43" s="111"/>
      <c r="C43" s="107"/>
      <c r="D43" s="112"/>
      <c r="E43" s="114"/>
      <c r="F43" s="115"/>
      <c r="G43" s="107"/>
      <c r="H43" s="107"/>
      <c r="I43" s="110"/>
      <c r="J43" s="111"/>
      <c r="K43" s="111"/>
    </row>
    <row r="44" ht="19.5" customHeight="1">
      <c r="A44" s="31">
        <v>37.0</v>
      </c>
      <c r="B44" s="106"/>
      <c r="C44" s="107"/>
      <c r="D44" s="108"/>
      <c r="E44" s="88"/>
      <c r="F44" s="109"/>
      <c r="G44" s="107"/>
      <c r="H44" s="107"/>
      <c r="I44" s="110"/>
      <c r="J44" s="106"/>
      <c r="K44" s="106"/>
    </row>
    <row r="45" ht="19.5" customHeight="1">
      <c r="A45" s="31">
        <v>38.0</v>
      </c>
      <c r="B45" s="111"/>
      <c r="C45" s="107"/>
      <c r="D45" s="112"/>
      <c r="E45" s="114"/>
      <c r="F45" s="115"/>
      <c r="G45" s="107"/>
      <c r="H45" s="107"/>
      <c r="I45" s="110"/>
      <c r="J45" s="111"/>
      <c r="K45" s="111"/>
    </row>
    <row r="46" ht="19.5" customHeight="1">
      <c r="A46" s="31">
        <v>39.0</v>
      </c>
      <c r="B46" s="106"/>
      <c r="C46" s="107"/>
      <c r="D46" s="108"/>
      <c r="E46" s="88"/>
      <c r="F46" s="109"/>
      <c r="G46" s="107"/>
      <c r="H46" s="107"/>
      <c r="I46" s="110"/>
      <c r="J46" s="106"/>
      <c r="K46" s="106"/>
    </row>
    <row r="47" ht="19.5" customHeight="1">
      <c r="A47" s="31">
        <v>40.0</v>
      </c>
      <c r="B47" s="111"/>
      <c r="C47" s="107"/>
      <c r="D47" s="112"/>
      <c r="E47" s="114"/>
      <c r="F47" s="115"/>
      <c r="G47" s="107"/>
      <c r="H47" s="107"/>
      <c r="I47" s="110"/>
      <c r="J47" s="111"/>
      <c r="K47" s="111"/>
    </row>
    <row r="48" ht="19.5" customHeight="1">
      <c r="A48" s="31">
        <v>41.0</v>
      </c>
      <c r="B48" s="106"/>
      <c r="C48" s="107"/>
      <c r="D48" s="108"/>
      <c r="E48" s="88"/>
      <c r="F48" s="109"/>
      <c r="G48" s="107"/>
      <c r="H48" s="107"/>
      <c r="I48" s="110"/>
      <c r="J48" s="106"/>
      <c r="K48" s="106"/>
    </row>
    <row r="49" ht="19.5" customHeight="1">
      <c r="A49" s="31">
        <v>42.0</v>
      </c>
      <c r="B49" s="111"/>
      <c r="C49" s="107"/>
      <c r="D49" s="112"/>
      <c r="E49" s="114"/>
      <c r="F49" s="115"/>
      <c r="G49" s="107"/>
      <c r="H49" s="107"/>
      <c r="I49" s="110"/>
      <c r="J49" s="111"/>
      <c r="K49" s="111"/>
    </row>
    <row r="50" ht="19.5" customHeight="1">
      <c r="A50" s="31">
        <v>43.0</v>
      </c>
      <c r="B50" s="106"/>
      <c r="C50" s="107"/>
      <c r="D50" s="108"/>
      <c r="E50" s="88"/>
      <c r="F50" s="109"/>
      <c r="G50" s="107"/>
      <c r="H50" s="107"/>
      <c r="I50" s="110"/>
      <c r="J50" s="106"/>
      <c r="K50" s="106"/>
    </row>
    <row r="51" ht="19.5" customHeight="1">
      <c r="A51" s="31">
        <v>44.0</v>
      </c>
      <c r="B51" s="111"/>
      <c r="C51" s="107"/>
      <c r="D51" s="112"/>
      <c r="E51" s="114"/>
      <c r="F51" s="115"/>
      <c r="G51" s="107"/>
      <c r="H51" s="107"/>
      <c r="I51" s="110"/>
      <c r="J51" s="111"/>
      <c r="K51" s="111"/>
    </row>
    <row r="52" ht="19.5" customHeight="1">
      <c r="A52" s="31">
        <v>45.0</v>
      </c>
      <c r="B52" s="106"/>
      <c r="C52" s="107"/>
      <c r="D52" s="108"/>
      <c r="E52" s="88"/>
      <c r="F52" s="109"/>
      <c r="G52" s="107"/>
      <c r="H52" s="107"/>
      <c r="I52" s="110"/>
      <c r="J52" s="106"/>
      <c r="K52" s="106"/>
    </row>
    <row r="53" ht="19.5" customHeight="1">
      <c r="A53" s="31">
        <v>46.0</v>
      </c>
      <c r="B53" s="111"/>
      <c r="C53" s="107"/>
      <c r="D53" s="112"/>
      <c r="E53" s="114"/>
      <c r="F53" s="115"/>
      <c r="G53" s="107"/>
      <c r="H53" s="107"/>
      <c r="I53" s="110"/>
      <c r="J53" s="111"/>
      <c r="K53" s="111"/>
    </row>
    <row r="54" ht="19.5" customHeight="1">
      <c r="A54" s="31">
        <v>47.0</v>
      </c>
      <c r="B54" s="106"/>
      <c r="C54" s="107"/>
      <c r="D54" s="108"/>
      <c r="E54" s="88"/>
      <c r="F54" s="109"/>
      <c r="G54" s="107"/>
      <c r="H54" s="107"/>
      <c r="I54" s="110"/>
      <c r="J54" s="106"/>
      <c r="K54" s="106"/>
    </row>
    <row r="55" ht="19.5" customHeight="1">
      <c r="A55" s="31">
        <v>48.0</v>
      </c>
      <c r="B55" s="111"/>
      <c r="C55" s="107"/>
      <c r="D55" s="112"/>
      <c r="E55" s="114"/>
      <c r="F55" s="115"/>
      <c r="G55" s="107"/>
      <c r="H55" s="107"/>
      <c r="I55" s="110"/>
      <c r="J55" s="111"/>
      <c r="K55" s="111"/>
    </row>
    <row r="56" ht="19.5" customHeight="1">
      <c r="A56" s="31">
        <v>49.0</v>
      </c>
      <c r="B56" s="106"/>
      <c r="C56" s="107"/>
      <c r="D56" s="108"/>
      <c r="E56" s="88"/>
      <c r="F56" s="109"/>
      <c r="G56" s="107"/>
      <c r="H56" s="107"/>
      <c r="I56" s="110"/>
      <c r="J56" s="106"/>
      <c r="K56" s="106"/>
    </row>
    <row r="57" ht="19.5" customHeight="1">
      <c r="A57" s="31">
        <v>50.0</v>
      </c>
      <c r="B57" s="111"/>
      <c r="C57" s="107"/>
      <c r="D57" s="112"/>
      <c r="E57" s="114"/>
      <c r="F57" s="115"/>
      <c r="G57" s="107"/>
      <c r="H57" s="107"/>
      <c r="I57" s="110"/>
      <c r="J57" s="111"/>
      <c r="K57" s="111"/>
    </row>
    <row r="58" ht="19.5" customHeight="1">
      <c r="A58" s="31">
        <v>51.0</v>
      </c>
      <c r="B58" s="106"/>
      <c r="C58" s="107"/>
      <c r="D58" s="108"/>
      <c r="E58" s="88"/>
      <c r="F58" s="109"/>
      <c r="G58" s="107"/>
      <c r="H58" s="107"/>
      <c r="I58" s="110"/>
      <c r="J58" s="106"/>
      <c r="K58" s="106"/>
    </row>
    <row r="59" ht="19.5" customHeight="1">
      <c r="A59" s="31">
        <v>52.0</v>
      </c>
      <c r="B59" s="111"/>
      <c r="C59" s="107"/>
      <c r="D59" s="112"/>
      <c r="E59" s="114"/>
      <c r="F59" s="115"/>
      <c r="G59" s="107"/>
      <c r="H59" s="107"/>
      <c r="I59" s="110"/>
      <c r="J59" s="111"/>
      <c r="K59" s="111"/>
    </row>
    <row r="60" ht="19.5" customHeight="1">
      <c r="A60" s="31">
        <v>53.0</v>
      </c>
      <c r="B60" s="106"/>
      <c r="C60" s="107"/>
      <c r="D60" s="108"/>
      <c r="E60" s="88"/>
      <c r="F60" s="109"/>
      <c r="G60" s="107"/>
      <c r="H60" s="107"/>
      <c r="I60" s="110"/>
      <c r="J60" s="106"/>
      <c r="K60" s="106"/>
    </row>
    <row r="61" ht="19.5" customHeight="1">
      <c r="A61" s="31">
        <v>54.0</v>
      </c>
      <c r="B61" s="111"/>
      <c r="C61" s="107"/>
      <c r="D61" s="112"/>
      <c r="E61" s="114"/>
      <c r="F61" s="115"/>
      <c r="G61" s="107"/>
      <c r="H61" s="107"/>
      <c r="I61" s="110"/>
      <c r="J61" s="111"/>
      <c r="K61" s="111"/>
    </row>
    <row r="62" ht="19.5" customHeight="1">
      <c r="A62" s="31">
        <v>55.0</v>
      </c>
      <c r="B62" s="106"/>
      <c r="C62" s="107"/>
      <c r="D62" s="108"/>
      <c r="E62" s="88"/>
      <c r="F62" s="109"/>
      <c r="G62" s="107"/>
      <c r="H62" s="107"/>
      <c r="I62" s="110"/>
      <c r="J62" s="106"/>
      <c r="K62" s="106"/>
    </row>
    <row r="63" ht="19.5" customHeight="1">
      <c r="A63" s="31">
        <v>56.0</v>
      </c>
      <c r="B63" s="111"/>
      <c r="C63" s="107"/>
      <c r="D63" s="112"/>
      <c r="E63" s="114"/>
      <c r="F63" s="115"/>
      <c r="G63" s="107"/>
      <c r="H63" s="107"/>
      <c r="I63" s="110"/>
      <c r="J63" s="111"/>
      <c r="K63" s="111"/>
    </row>
    <row r="64" ht="19.5" customHeight="1">
      <c r="A64" s="31">
        <v>57.0</v>
      </c>
      <c r="B64" s="106"/>
      <c r="C64" s="107"/>
      <c r="D64" s="108"/>
      <c r="E64" s="88"/>
      <c r="F64" s="109"/>
      <c r="G64" s="107"/>
      <c r="H64" s="107"/>
      <c r="I64" s="110"/>
      <c r="J64" s="106"/>
      <c r="K64" s="106"/>
    </row>
    <row r="65" ht="19.5" customHeight="1">
      <c r="A65" s="31">
        <v>58.0</v>
      </c>
      <c r="B65" s="111"/>
      <c r="C65" s="107"/>
      <c r="D65" s="112"/>
      <c r="E65" s="114"/>
      <c r="F65" s="115"/>
      <c r="G65" s="107"/>
      <c r="H65" s="107"/>
      <c r="I65" s="110"/>
      <c r="J65" s="111"/>
      <c r="K65" s="111"/>
    </row>
    <row r="66" ht="19.5" customHeight="1">
      <c r="A66" s="31">
        <v>59.0</v>
      </c>
      <c r="B66" s="106"/>
      <c r="C66" s="107"/>
      <c r="D66" s="108"/>
      <c r="E66" s="88"/>
      <c r="F66" s="109"/>
      <c r="G66" s="107"/>
      <c r="H66" s="107"/>
      <c r="I66" s="110"/>
      <c r="J66" s="106"/>
      <c r="K66" s="106"/>
    </row>
    <row r="67" ht="19.5" customHeight="1">
      <c r="A67" s="31">
        <v>60.0</v>
      </c>
      <c r="B67" s="111"/>
      <c r="C67" s="107"/>
      <c r="D67" s="112"/>
      <c r="E67" s="114"/>
      <c r="F67" s="115"/>
      <c r="G67" s="107"/>
      <c r="H67" s="107"/>
      <c r="I67" s="110"/>
      <c r="J67" s="111"/>
      <c r="K67" s="111"/>
    </row>
    <row r="68" ht="19.5" customHeight="1">
      <c r="A68" s="31">
        <v>61.0</v>
      </c>
      <c r="B68" s="106"/>
      <c r="C68" s="107"/>
      <c r="D68" s="108"/>
      <c r="E68" s="88"/>
      <c r="F68" s="109"/>
      <c r="G68" s="107"/>
      <c r="H68" s="107"/>
      <c r="I68" s="110"/>
      <c r="J68" s="106"/>
      <c r="K68" s="106"/>
    </row>
    <row r="69" ht="19.5" customHeight="1">
      <c r="A69" s="31">
        <v>62.0</v>
      </c>
      <c r="B69" s="111"/>
      <c r="C69" s="107"/>
      <c r="D69" s="112"/>
      <c r="E69" s="114"/>
      <c r="F69" s="115"/>
      <c r="G69" s="107"/>
      <c r="H69" s="107"/>
      <c r="I69" s="110"/>
      <c r="J69" s="111"/>
      <c r="K69" s="111"/>
    </row>
    <row r="70" ht="19.5" customHeight="1">
      <c r="A70" s="31">
        <v>63.0</v>
      </c>
      <c r="B70" s="106"/>
      <c r="C70" s="107"/>
      <c r="D70" s="108"/>
      <c r="E70" s="88"/>
      <c r="F70" s="109"/>
      <c r="G70" s="107"/>
      <c r="H70" s="107"/>
      <c r="I70" s="110"/>
      <c r="J70" s="106"/>
      <c r="K70" s="106"/>
    </row>
    <row r="71" ht="19.5" customHeight="1">
      <c r="A71" s="31">
        <v>64.0</v>
      </c>
      <c r="B71" s="111"/>
      <c r="C71" s="107"/>
      <c r="D71" s="112"/>
      <c r="E71" s="114"/>
      <c r="F71" s="115"/>
      <c r="G71" s="107"/>
      <c r="H71" s="107"/>
      <c r="I71" s="110"/>
      <c r="J71" s="111"/>
      <c r="K71" s="111"/>
    </row>
    <row r="72" ht="19.5" customHeight="1">
      <c r="A72" s="31">
        <v>65.0</v>
      </c>
      <c r="B72" s="106"/>
      <c r="C72" s="107"/>
      <c r="D72" s="108"/>
      <c r="E72" s="88"/>
      <c r="F72" s="109"/>
      <c r="G72" s="107"/>
      <c r="H72" s="107"/>
      <c r="I72" s="110"/>
      <c r="J72" s="106"/>
      <c r="K72" s="106"/>
    </row>
    <row r="73" ht="19.5" customHeight="1">
      <c r="A73" s="31">
        <v>66.0</v>
      </c>
      <c r="B73" s="111"/>
      <c r="C73" s="107"/>
      <c r="D73" s="112"/>
      <c r="E73" s="114"/>
      <c r="F73" s="115"/>
      <c r="G73" s="107"/>
      <c r="H73" s="107"/>
      <c r="I73" s="110"/>
      <c r="J73" s="111"/>
      <c r="K73" s="111"/>
    </row>
    <row r="74" ht="19.5" customHeight="1">
      <c r="A74" s="31">
        <v>67.0</v>
      </c>
      <c r="B74" s="106"/>
      <c r="C74" s="107"/>
      <c r="D74" s="108"/>
      <c r="E74" s="88"/>
      <c r="F74" s="109"/>
      <c r="G74" s="107"/>
      <c r="H74" s="107"/>
      <c r="I74" s="110"/>
      <c r="J74" s="106"/>
      <c r="K74" s="106"/>
    </row>
    <row r="75" ht="19.5" customHeight="1">
      <c r="A75" s="31">
        <v>68.0</v>
      </c>
      <c r="B75" s="111"/>
      <c r="C75" s="107"/>
      <c r="D75" s="112"/>
      <c r="E75" s="114"/>
      <c r="F75" s="115"/>
      <c r="G75" s="107"/>
      <c r="H75" s="107"/>
      <c r="I75" s="110"/>
      <c r="J75" s="111"/>
      <c r="K75" s="111"/>
    </row>
    <row r="76" ht="19.5" customHeight="1">
      <c r="A76" s="31">
        <v>69.0</v>
      </c>
      <c r="B76" s="106"/>
      <c r="C76" s="107"/>
      <c r="D76" s="108"/>
      <c r="E76" s="88"/>
      <c r="F76" s="109"/>
      <c r="G76" s="107"/>
      <c r="H76" s="107"/>
      <c r="I76" s="110"/>
      <c r="J76" s="106"/>
      <c r="K76" s="106"/>
    </row>
    <row r="77" ht="19.5" customHeight="1">
      <c r="A77" s="31">
        <v>70.0</v>
      </c>
      <c r="B77" s="111"/>
      <c r="C77" s="107"/>
      <c r="D77" s="112"/>
      <c r="E77" s="114"/>
      <c r="F77" s="115"/>
      <c r="G77" s="107"/>
      <c r="H77" s="107"/>
      <c r="I77" s="110"/>
      <c r="J77" s="111"/>
      <c r="K77" s="111"/>
    </row>
    <row r="78" ht="19.5" customHeight="1">
      <c r="A78" s="31">
        <v>71.0</v>
      </c>
      <c r="B78" s="106"/>
      <c r="C78" s="107"/>
      <c r="D78" s="108"/>
      <c r="E78" s="88"/>
      <c r="F78" s="109"/>
      <c r="G78" s="107"/>
      <c r="H78" s="107"/>
      <c r="I78" s="110"/>
      <c r="J78" s="106"/>
      <c r="K78" s="106"/>
    </row>
    <row r="79" ht="19.5" customHeight="1">
      <c r="A79" s="31">
        <v>72.0</v>
      </c>
      <c r="B79" s="111"/>
      <c r="C79" s="107"/>
      <c r="D79" s="112"/>
      <c r="E79" s="114"/>
      <c r="F79" s="115"/>
      <c r="G79" s="107"/>
      <c r="H79" s="107"/>
      <c r="I79" s="110"/>
      <c r="J79" s="111"/>
      <c r="K79" s="111"/>
    </row>
    <row r="80" ht="19.5" customHeight="1">
      <c r="A80" s="31">
        <v>73.0</v>
      </c>
      <c r="B80" s="106"/>
      <c r="C80" s="107"/>
      <c r="D80" s="108"/>
      <c r="E80" s="88"/>
      <c r="F80" s="109"/>
      <c r="G80" s="107"/>
      <c r="H80" s="107"/>
      <c r="I80" s="110"/>
      <c r="J80" s="106"/>
      <c r="K80" s="106"/>
    </row>
    <row r="81" ht="19.5" customHeight="1">
      <c r="A81" s="31">
        <v>74.0</v>
      </c>
      <c r="B81" s="111"/>
      <c r="C81" s="107"/>
      <c r="D81" s="112"/>
      <c r="E81" s="114"/>
      <c r="F81" s="115"/>
      <c r="G81" s="107"/>
      <c r="H81" s="107"/>
      <c r="I81" s="110"/>
      <c r="J81" s="111"/>
      <c r="K81" s="111"/>
    </row>
    <row r="82" ht="19.5" customHeight="1">
      <c r="A82" s="31">
        <v>75.0</v>
      </c>
      <c r="B82" s="106"/>
      <c r="C82" s="107"/>
      <c r="D82" s="108"/>
      <c r="E82" s="88"/>
      <c r="F82" s="109"/>
      <c r="G82" s="107"/>
      <c r="H82" s="107"/>
      <c r="I82" s="110"/>
      <c r="J82" s="106"/>
      <c r="K82" s="106"/>
    </row>
    <row r="83" ht="19.5" customHeight="1">
      <c r="A83" s="31">
        <v>76.0</v>
      </c>
      <c r="B83" s="111"/>
      <c r="C83" s="107"/>
      <c r="D83" s="112"/>
      <c r="E83" s="114"/>
      <c r="F83" s="115"/>
      <c r="G83" s="107"/>
      <c r="H83" s="107"/>
      <c r="I83" s="110"/>
      <c r="J83" s="111"/>
      <c r="K83" s="111"/>
    </row>
    <row r="84" ht="19.5" customHeight="1">
      <c r="A84" s="31">
        <v>77.0</v>
      </c>
      <c r="B84" s="106"/>
      <c r="C84" s="107"/>
      <c r="D84" s="108"/>
      <c r="E84" s="88"/>
      <c r="F84" s="109"/>
      <c r="G84" s="107"/>
      <c r="H84" s="107"/>
      <c r="I84" s="110"/>
      <c r="J84" s="106"/>
      <c r="K84" s="106"/>
    </row>
    <row r="85" ht="19.5" customHeight="1">
      <c r="A85" s="31">
        <v>78.0</v>
      </c>
      <c r="B85" s="111"/>
      <c r="C85" s="107"/>
      <c r="D85" s="112"/>
      <c r="E85" s="114"/>
      <c r="F85" s="115"/>
      <c r="G85" s="107"/>
      <c r="H85" s="107"/>
      <c r="I85" s="110"/>
      <c r="J85" s="111"/>
      <c r="K85" s="111"/>
    </row>
    <row r="86" ht="19.5" customHeight="1">
      <c r="A86" s="31">
        <v>79.0</v>
      </c>
      <c r="B86" s="106"/>
      <c r="C86" s="107"/>
      <c r="D86" s="108"/>
      <c r="E86" s="88"/>
      <c r="F86" s="109"/>
      <c r="G86" s="107"/>
      <c r="H86" s="107"/>
      <c r="I86" s="110"/>
      <c r="J86" s="106"/>
      <c r="K86" s="106"/>
    </row>
    <row r="87" ht="19.5" customHeight="1">
      <c r="A87" s="31">
        <v>80.0</v>
      </c>
      <c r="B87" s="111"/>
      <c r="C87" s="107"/>
      <c r="D87" s="112"/>
      <c r="E87" s="114"/>
      <c r="F87" s="115"/>
      <c r="G87" s="107"/>
      <c r="H87" s="107"/>
      <c r="I87" s="110"/>
      <c r="J87" s="111"/>
      <c r="K87" s="111"/>
    </row>
    <row r="88" ht="19.5" customHeight="1">
      <c r="A88" s="31">
        <v>81.0</v>
      </c>
      <c r="B88" s="106"/>
      <c r="C88" s="107"/>
      <c r="D88" s="108"/>
      <c r="E88" s="88"/>
      <c r="F88" s="109"/>
      <c r="G88" s="107"/>
      <c r="H88" s="107"/>
      <c r="I88" s="110"/>
      <c r="J88" s="106"/>
      <c r="K88" s="106"/>
    </row>
    <row r="89" ht="19.5" customHeight="1">
      <c r="A89" s="31">
        <v>82.0</v>
      </c>
      <c r="B89" s="111"/>
      <c r="C89" s="107"/>
      <c r="D89" s="112"/>
      <c r="E89" s="114"/>
      <c r="F89" s="115"/>
      <c r="G89" s="107"/>
      <c r="H89" s="107"/>
      <c r="I89" s="110"/>
      <c r="J89" s="111"/>
      <c r="K89" s="111"/>
    </row>
    <row r="90" ht="19.5" customHeight="1">
      <c r="A90" s="31">
        <v>83.0</v>
      </c>
      <c r="B90" s="106"/>
      <c r="C90" s="107"/>
      <c r="D90" s="108"/>
      <c r="E90" s="88"/>
      <c r="F90" s="109"/>
      <c r="G90" s="107"/>
      <c r="H90" s="107"/>
      <c r="I90" s="110"/>
      <c r="J90" s="106"/>
      <c r="K90" s="106"/>
    </row>
    <row r="91" ht="19.5" customHeight="1">
      <c r="A91" s="31">
        <v>84.0</v>
      </c>
      <c r="B91" s="111"/>
      <c r="C91" s="107"/>
      <c r="D91" s="112"/>
      <c r="E91" s="114"/>
      <c r="F91" s="115"/>
      <c r="G91" s="107"/>
      <c r="H91" s="107"/>
      <c r="I91" s="110"/>
      <c r="J91" s="111"/>
      <c r="K91" s="111"/>
    </row>
    <row r="92" ht="19.5" customHeight="1">
      <c r="A92" s="31">
        <v>85.0</v>
      </c>
      <c r="B92" s="106"/>
      <c r="C92" s="107"/>
      <c r="D92" s="108"/>
      <c r="E92" s="88"/>
      <c r="F92" s="109"/>
      <c r="G92" s="107"/>
      <c r="H92" s="107"/>
      <c r="I92" s="110"/>
      <c r="J92" s="106"/>
      <c r="K92" s="106"/>
    </row>
    <row r="93" ht="19.5" customHeight="1">
      <c r="A93" s="31">
        <v>86.0</v>
      </c>
      <c r="B93" s="111"/>
      <c r="C93" s="107"/>
      <c r="D93" s="112"/>
      <c r="E93" s="114"/>
      <c r="F93" s="115"/>
      <c r="G93" s="107"/>
      <c r="H93" s="107"/>
      <c r="I93" s="110"/>
      <c r="J93" s="111"/>
      <c r="K93" s="111"/>
    </row>
    <row r="94" ht="19.5" customHeight="1">
      <c r="A94" s="31">
        <v>87.0</v>
      </c>
      <c r="B94" s="106"/>
      <c r="C94" s="107"/>
      <c r="D94" s="108"/>
      <c r="E94" s="88"/>
      <c r="F94" s="109"/>
      <c r="G94" s="107"/>
      <c r="H94" s="107"/>
      <c r="I94" s="110"/>
      <c r="J94" s="106"/>
      <c r="K94" s="106"/>
    </row>
    <row r="95" ht="19.5" customHeight="1">
      <c r="A95" s="31">
        <v>88.0</v>
      </c>
      <c r="B95" s="111"/>
      <c r="C95" s="107"/>
      <c r="D95" s="112"/>
      <c r="E95" s="114"/>
      <c r="F95" s="115"/>
      <c r="G95" s="107"/>
      <c r="H95" s="107"/>
      <c r="I95" s="110"/>
      <c r="J95" s="111"/>
      <c r="K95" s="111"/>
    </row>
    <row r="96" ht="19.5" customHeight="1">
      <c r="A96" s="31">
        <v>89.0</v>
      </c>
      <c r="B96" s="106"/>
      <c r="C96" s="107"/>
      <c r="D96" s="108"/>
      <c r="E96" s="88"/>
      <c r="F96" s="109"/>
      <c r="G96" s="107"/>
      <c r="H96" s="107"/>
      <c r="I96" s="110"/>
      <c r="J96" s="106"/>
      <c r="K96" s="106"/>
    </row>
    <row r="97" ht="19.5" customHeight="1">
      <c r="A97" s="31">
        <v>90.0</v>
      </c>
      <c r="B97" s="111"/>
      <c r="C97" s="107"/>
      <c r="D97" s="112"/>
      <c r="E97" s="114"/>
      <c r="F97" s="115"/>
      <c r="G97" s="107"/>
      <c r="H97" s="107"/>
      <c r="I97" s="110"/>
      <c r="J97" s="111"/>
      <c r="K97" s="111"/>
    </row>
    <row r="98" ht="19.5" customHeight="1">
      <c r="A98" s="31">
        <v>91.0</v>
      </c>
      <c r="B98" s="106"/>
      <c r="C98" s="107"/>
      <c r="D98" s="108"/>
      <c r="E98" s="88"/>
      <c r="F98" s="109"/>
      <c r="G98" s="107"/>
      <c r="H98" s="107"/>
      <c r="I98" s="110"/>
      <c r="J98" s="106"/>
      <c r="K98" s="106"/>
    </row>
    <row r="99" ht="19.5" customHeight="1">
      <c r="A99" s="31">
        <v>92.0</v>
      </c>
      <c r="B99" s="111"/>
      <c r="C99" s="107"/>
      <c r="D99" s="112"/>
      <c r="E99" s="114"/>
      <c r="F99" s="115"/>
      <c r="G99" s="107"/>
      <c r="H99" s="107"/>
      <c r="I99" s="110"/>
      <c r="J99" s="111"/>
      <c r="K99" s="111"/>
    </row>
    <row r="100" ht="19.5" customHeight="1">
      <c r="A100" s="31">
        <v>93.0</v>
      </c>
      <c r="B100" s="106"/>
      <c r="C100" s="107"/>
      <c r="D100" s="108"/>
      <c r="E100" s="88"/>
      <c r="F100" s="109"/>
      <c r="G100" s="107"/>
      <c r="H100" s="107"/>
      <c r="I100" s="110"/>
      <c r="J100" s="106"/>
      <c r="K100" s="106"/>
    </row>
    <row r="101" ht="19.5" customHeight="1">
      <c r="A101" s="31">
        <v>94.0</v>
      </c>
      <c r="B101" s="111"/>
      <c r="C101" s="107"/>
      <c r="D101" s="112"/>
      <c r="E101" s="114"/>
      <c r="F101" s="115"/>
      <c r="G101" s="107"/>
      <c r="H101" s="107"/>
      <c r="I101" s="110"/>
      <c r="J101" s="111"/>
      <c r="K101" s="111"/>
    </row>
    <row r="102" ht="19.5" customHeight="1">
      <c r="A102" s="31">
        <v>95.0</v>
      </c>
      <c r="B102" s="106"/>
      <c r="C102" s="107"/>
      <c r="D102" s="108"/>
      <c r="E102" s="88"/>
      <c r="F102" s="109"/>
      <c r="G102" s="107"/>
      <c r="H102" s="107"/>
      <c r="I102" s="110"/>
      <c r="J102" s="106"/>
      <c r="K102" s="106"/>
    </row>
    <row r="103" ht="19.5" customHeight="1">
      <c r="A103" s="31">
        <v>96.0</v>
      </c>
      <c r="B103" s="111"/>
      <c r="C103" s="107"/>
      <c r="D103" s="112"/>
      <c r="E103" s="114"/>
      <c r="F103" s="115"/>
      <c r="G103" s="107"/>
      <c r="H103" s="107"/>
      <c r="I103" s="110"/>
      <c r="J103" s="111"/>
      <c r="K103" s="111"/>
    </row>
    <row r="104" ht="19.5" customHeight="1">
      <c r="A104" s="31">
        <v>97.0</v>
      </c>
      <c r="B104" s="106"/>
      <c r="C104" s="107"/>
      <c r="D104" s="108"/>
      <c r="E104" s="88"/>
      <c r="F104" s="109"/>
      <c r="G104" s="107"/>
      <c r="H104" s="107"/>
      <c r="I104" s="110"/>
      <c r="J104" s="106"/>
      <c r="K104" s="106"/>
    </row>
    <row r="105" ht="19.5" customHeight="1">
      <c r="A105" s="31">
        <v>98.0</v>
      </c>
      <c r="B105" s="111"/>
      <c r="C105" s="107"/>
      <c r="D105" s="112"/>
      <c r="E105" s="114"/>
      <c r="F105" s="115"/>
      <c r="G105" s="107"/>
      <c r="H105" s="107"/>
      <c r="I105" s="110"/>
      <c r="J105" s="111"/>
      <c r="K105" s="111"/>
    </row>
    <row r="106" ht="19.5" customHeight="1">
      <c r="A106" s="31">
        <v>99.0</v>
      </c>
      <c r="B106" s="106"/>
      <c r="C106" s="107"/>
      <c r="D106" s="108"/>
      <c r="E106" s="88"/>
      <c r="F106" s="109"/>
      <c r="G106" s="107"/>
      <c r="H106" s="107"/>
      <c r="I106" s="110"/>
      <c r="J106" s="106"/>
      <c r="K106" s="106"/>
    </row>
    <row r="107" ht="19.5" customHeight="1">
      <c r="A107" s="31">
        <v>100.0</v>
      </c>
      <c r="B107" s="111"/>
      <c r="C107" s="107"/>
      <c r="D107" s="112"/>
      <c r="E107" s="114"/>
      <c r="F107" s="115"/>
      <c r="G107" s="107"/>
      <c r="H107" s="107"/>
      <c r="I107" s="110"/>
      <c r="J107" s="111"/>
      <c r="K107" s="111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</sheetData>
  <mergeCells count="3">
    <mergeCell ref="A1:K1"/>
    <mergeCell ref="A3:K3"/>
    <mergeCell ref="A5:C5"/>
  </mergeCells>
  <dataValidations>
    <dataValidation type="list" allowBlank="1" showInputMessage="1" showErrorMessage="1" prompt="Entrada inválida - Escolha uma opção da lista suspensa." sqref="I8:I107">
      <formula1>Listas!$M$2:$M$7</formula1>
    </dataValidation>
    <dataValidation type="list" allowBlank="1" showInputMessage="1" showErrorMessage="1" prompt="Entrada inválida - Escolha uma opção da lista suspensa." sqref="H8:H107">
      <formula1>Listas!$E$2:$E$4</formula1>
    </dataValidation>
    <dataValidation type="list" allowBlank="1" showInputMessage="1" showErrorMessage="1" prompt="Entrada inválida - Escolha uma opção da lista suspensa." sqref="C8:C107">
      <formula1>Listas!$A$2:$A$16</formula1>
    </dataValidation>
    <dataValidation type="list" allowBlank="1" showInputMessage="1" showErrorMessage="1" prompt="Entrada inválida - Escolha uma opção da lista suspensa." sqref="G8:G107">
      <formula1>Listas!$D$2:$D$5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2" width="42.13"/>
    <col customWidth="1" min="3" max="3" width="20.0"/>
    <col customWidth="1" min="4" max="4" width="32.0"/>
    <col customWidth="1" min="5" max="5" width="24.0"/>
    <col customWidth="1" min="6" max="6" width="20.0"/>
    <col customWidth="1" min="7" max="7" width="47.75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6" width="17.0"/>
    <col customWidth="1" min="17" max="17" width="12.0"/>
    <col customWidth="1" min="18" max="19" width="21.0"/>
    <col customWidth="1" min="20" max="20" width="18.0"/>
    <col customWidth="1" min="21" max="21" width="21.0"/>
    <col customWidth="1" min="22" max="22" width="25.0"/>
    <col customWidth="1" min="23" max="23" width="21.0"/>
    <col customWidth="1" min="24" max="25" width="20.0"/>
    <col customWidth="1" min="26" max="26" width="28.0"/>
    <col customWidth="1" min="27" max="27" width="20.0"/>
    <col customWidth="1" min="28" max="28" width="12.0"/>
    <col customWidth="1" min="29" max="29" width="22.0"/>
    <col customWidth="1" min="30" max="30" width="26.0"/>
    <col customWidth="1" min="31" max="31" width="29.0"/>
    <col customWidth="1" min="32" max="32" width="26.0"/>
    <col customWidth="1" min="33" max="33" width="17.0"/>
    <col customWidth="1" min="34" max="34" width="20.0"/>
    <col customWidth="1" min="35" max="35" width="30.0"/>
    <col customWidth="1" min="36" max="36" width="17.0"/>
    <col customWidth="1" min="37" max="37" width="12.0"/>
    <col customWidth="1" min="38" max="39" width="18.0"/>
    <col customWidth="1" min="40" max="40" width="15.0"/>
    <col customWidth="1" min="41" max="42" width="26.0"/>
    <col customWidth="1" min="43" max="43" width="16.0"/>
    <col customWidth="1" min="44" max="44" width="31.0"/>
    <col customWidth="1" min="45" max="45" width="21.0"/>
    <col customWidth="1" min="46" max="46" width="24.0"/>
    <col customWidth="1" min="47" max="47" width="17.0"/>
    <col customWidth="1" min="48" max="48" width="20.0"/>
    <col customWidth="1" min="49" max="49" width="16.0"/>
    <col customWidth="1" min="50" max="50" width="17.0"/>
    <col customWidth="1" min="51" max="51" width="18.0"/>
    <col customWidth="1" min="52" max="52" width="28.0"/>
    <col customWidth="1" min="53" max="53" width="18.0"/>
    <col customWidth="1" min="54" max="55" width="28.0"/>
    <col customWidth="1" min="56" max="56" width="24.0"/>
    <col customWidth="1" min="57" max="57" width="30.0"/>
    <col customWidth="1" min="58" max="58" width="22.0"/>
    <col customWidth="1" min="59" max="59" width="18.0"/>
    <col customWidth="1" min="60" max="60" width="22.0"/>
    <col customWidth="1" min="61" max="61" width="18.0"/>
    <col customWidth="1" min="62" max="62" width="24.0"/>
    <col customWidth="1" min="63" max="63" width="23.0"/>
    <col customWidth="1" min="64" max="64" width="27.0"/>
    <col customWidth="1" min="65" max="65" width="13.0"/>
    <col customWidth="1" min="66" max="70" width="14.0"/>
    <col customWidth="1" min="71" max="71" width="22.0"/>
  </cols>
  <sheetData>
    <row r="1" ht="15.0" customHeight="1">
      <c r="A1" s="1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10" t="str">
        <f>TRIM(MID('2027'!$A$1,FIND(":",'2027'!$A$1)+2,200))</f>
        <v>Superintendência Municipal de Distritos - SMD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</row>
    <row r="2" ht="15.0" customHeight="1">
      <c r="A2" s="22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6"/>
      <c r="AC2" s="24" t="s">
        <v>18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6"/>
      <c r="AT2" s="26" t="s">
        <v>22</v>
      </c>
      <c r="AU2" s="4"/>
      <c r="AV2" s="4"/>
      <c r="AW2" s="4"/>
      <c r="AX2" s="4"/>
      <c r="AY2" s="4"/>
      <c r="AZ2" s="6"/>
      <c r="BA2" s="28" t="s">
        <v>27</v>
      </c>
      <c r="BB2" s="4"/>
      <c r="BC2" s="4"/>
      <c r="BD2" s="4"/>
      <c r="BE2" s="4"/>
      <c r="BF2" s="6"/>
      <c r="BG2" s="29" t="s">
        <v>31</v>
      </c>
      <c r="BH2" s="4"/>
      <c r="BI2" s="4"/>
      <c r="BJ2" s="4"/>
      <c r="BK2" s="4"/>
      <c r="BL2" s="4"/>
      <c r="BM2" s="6"/>
      <c r="BN2" s="30" t="s">
        <v>36</v>
      </c>
      <c r="BO2" s="4"/>
      <c r="BP2" s="4"/>
      <c r="BQ2" s="4"/>
      <c r="BR2" s="4"/>
      <c r="BS2" s="6"/>
    </row>
    <row r="3" ht="15.0" customHeight="1">
      <c r="A3" s="32" t="s">
        <v>39</v>
      </c>
      <c r="B3" s="32" t="s">
        <v>41</v>
      </c>
      <c r="C3" s="32" t="s">
        <v>43</v>
      </c>
      <c r="D3" s="32" t="s">
        <v>44</v>
      </c>
      <c r="E3" s="32" t="s">
        <v>45</v>
      </c>
      <c r="F3" s="32" t="s">
        <v>39</v>
      </c>
      <c r="G3" s="32" t="s">
        <v>21</v>
      </c>
      <c r="H3" s="32" t="s">
        <v>46</v>
      </c>
      <c r="I3" s="32"/>
      <c r="J3" s="32" t="s">
        <v>47</v>
      </c>
      <c r="K3" s="32" t="s">
        <v>48</v>
      </c>
      <c r="L3" s="32" t="s">
        <v>50</v>
      </c>
      <c r="M3" s="32" t="s">
        <v>52</v>
      </c>
      <c r="N3" s="32" t="s">
        <v>53</v>
      </c>
      <c r="O3" s="32" t="s">
        <v>54</v>
      </c>
      <c r="P3" s="32"/>
      <c r="Q3" s="32" t="s">
        <v>55</v>
      </c>
      <c r="R3" s="32" t="s">
        <v>57</v>
      </c>
      <c r="S3" s="32" t="s">
        <v>58</v>
      </c>
      <c r="T3" s="32" t="s">
        <v>59</v>
      </c>
      <c r="U3" s="32" t="s">
        <v>60</v>
      </c>
      <c r="V3" s="32" t="s">
        <v>61</v>
      </c>
      <c r="W3" s="32"/>
      <c r="X3" s="32" t="s">
        <v>62</v>
      </c>
      <c r="Y3" s="32" t="s">
        <v>63</v>
      </c>
      <c r="Z3" s="32" t="s">
        <v>64</v>
      </c>
      <c r="AA3" s="32" t="s">
        <v>66</v>
      </c>
      <c r="AB3" s="32" t="s">
        <v>67</v>
      </c>
      <c r="AC3" s="32" t="s">
        <v>69</v>
      </c>
      <c r="AD3" s="32" t="s">
        <v>70</v>
      </c>
      <c r="AE3" s="32" t="s">
        <v>71</v>
      </c>
      <c r="AF3" s="32" t="s">
        <v>73</v>
      </c>
      <c r="AG3" s="32" t="s">
        <v>75</v>
      </c>
      <c r="AH3" s="32" t="s">
        <v>77</v>
      </c>
      <c r="AI3" s="32" t="s">
        <v>79</v>
      </c>
      <c r="AJ3" s="32" t="s">
        <v>81</v>
      </c>
      <c r="AK3" s="32" t="s">
        <v>83</v>
      </c>
      <c r="AL3" s="32" t="s">
        <v>85</v>
      </c>
      <c r="AM3" s="32" t="s">
        <v>86</v>
      </c>
      <c r="AN3" s="32" t="s">
        <v>87</v>
      </c>
      <c r="AO3" s="32" t="s">
        <v>88</v>
      </c>
      <c r="AP3" s="32" t="s">
        <v>89</v>
      </c>
      <c r="AQ3" s="32" t="s">
        <v>91</v>
      </c>
      <c r="AR3" s="32" t="s">
        <v>92</v>
      </c>
      <c r="AS3" s="32" t="s">
        <v>95</v>
      </c>
      <c r="AT3" s="32" t="s">
        <v>96</v>
      </c>
      <c r="AU3" s="32"/>
      <c r="AV3" s="32" t="s">
        <v>97</v>
      </c>
      <c r="AW3" s="32" t="s">
        <v>98</v>
      </c>
      <c r="AX3" s="32" t="s">
        <v>99</v>
      </c>
      <c r="AY3" s="32" t="s">
        <v>100</v>
      </c>
      <c r="AZ3" s="32" t="s">
        <v>101</v>
      </c>
      <c r="BA3" s="32" t="s">
        <v>102</v>
      </c>
      <c r="BB3" s="32" t="s">
        <v>104</v>
      </c>
      <c r="BC3" s="32" t="s">
        <v>106</v>
      </c>
      <c r="BD3" s="32" t="s">
        <v>108</v>
      </c>
      <c r="BE3" s="32" t="s">
        <v>109</v>
      </c>
      <c r="BF3" s="32" t="s">
        <v>111</v>
      </c>
      <c r="BG3" s="32" t="s">
        <v>113</v>
      </c>
      <c r="BH3" s="32" t="s">
        <v>114</v>
      </c>
      <c r="BI3" s="32" t="s">
        <v>115</v>
      </c>
      <c r="BJ3" s="32" t="s">
        <v>117</v>
      </c>
      <c r="BK3" s="32" t="s">
        <v>119</v>
      </c>
      <c r="BL3" s="32" t="s">
        <v>121</v>
      </c>
      <c r="BM3" s="32" t="s">
        <v>37</v>
      </c>
      <c r="BN3" s="32" t="s">
        <v>123</v>
      </c>
      <c r="BO3" s="32" t="s">
        <v>124</v>
      </c>
      <c r="BP3" s="32" t="s">
        <v>125</v>
      </c>
      <c r="BQ3" s="32" t="s">
        <v>127</v>
      </c>
      <c r="BR3" s="32" t="s">
        <v>128</v>
      </c>
      <c r="BS3" s="32" t="s">
        <v>129</v>
      </c>
    </row>
    <row r="4" ht="74.25" customHeight="1">
      <c r="A4" s="49" t="str">
        <f>IF('2027'!$E$8="","",'2027'!$E$8)</f>
        <v>66/2024</v>
      </c>
      <c r="B4" s="50" t="s">
        <v>138</v>
      </c>
      <c r="C4" s="51" t="str">
        <f>IF('2027'!$B$8="","",'2027'!$B$8)</f>
        <v>024.000147/2025-98</v>
      </c>
      <c r="D4" s="51" t="str">
        <f>IF('2027'!$C$8="","",'2027'!$C$8)</f>
        <v>RECHE GALDEANO &amp; CIA LTDA</v>
      </c>
      <c r="E4" s="51" t="str">
        <f>IF('2027'!$D$8="","",'2027'!$D$8)</f>
        <v>08.713.403/0001-90</v>
      </c>
      <c r="F4" s="54" t="str">
        <f>IF('2027'!$E$8="","",'2027'!$E$8)</f>
        <v>66/2024</v>
      </c>
      <c r="G4" s="51" t="str">
        <f>IF('2027'!$F$8="","",'2027'!$F$8)</f>
        <v>Contrato de Prestação de Serviços Contínuos</v>
      </c>
      <c r="H4" s="57" t="str">
        <f>IF('2027'!$H$8="","",'2027'!$H$8)</f>
        <v>Locação de 11 veículos utilitários leves, sem condutor, para atendimento da sede e dos distritos.</v>
      </c>
      <c r="I4" s="58"/>
      <c r="J4" s="51" t="str">
        <f>IF('2027'!$I$8="","",'2027'!$I$8)</f>
        <v>Contrato continuado</v>
      </c>
      <c r="K4" s="51" t="str">
        <f t="shared" ref="K4:K109" si="2">IF($B4="","",IFERROR(IF(INDIRECT("'"&amp;$B4&amp;"'!$B$10")="","",INDIRECT("'"&amp;$B4&amp;"'!$B$10")),""))</f>
        <v/>
      </c>
      <c r="L4" s="51" t="str">
        <f>IF('2027'!$J$8="","",'2027'!$J$8)</f>
        <v>Global</v>
      </c>
      <c r="M4" s="60" t="str">
        <f>IF('2027'!$K$8="","",'2027'!$K$8)</f>
        <v>9/26/2024</v>
      </c>
      <c r="N4" s="60" t="str">
        <f>IF('2027'!$L$8="","",'2027'!$L$8)</f>
        <v>9/26/2027</v>
      </c>
      <c r="O4" s="58" t="str">
        <f t="shared" ref="O4:O109" si="3">IF($B4="","","SMD")</f>
        <v>SMD</v>
      </c>
      <c r="P4" s="58"/>
      <c r="Q4" s="51" t="str">
        <f t="shared" ref="Q4:Q109" si="4">IF($B4="","",IFERROR(IF(INDIRECT("'"&amp;$B4&amp;"'!$B$11")="","",INDIRECT("'"&amp;$B4&amp;"'!$B$11")),""))</f>
        <v/>
      </c>
      <c r="R4" s="51" t="str">
        <f t="shared" ref="R4:R109" si="5">IF($B4="","",IFERROR(IF(INDIRECT("'"&amp;$B4&amp;"'!$F$11")="","",INDIRECT("'"&amp;$B4&amp;"'!$F$11")),""))</f>
        <v/>
      </c>
      <c r="S4" s="58" t="str">
        <f t="shared" ref="S4:S109" si="6">IF($B4="","",IFERROR(IF(INDIRECT("'"&amp;$B4&amp;"'!$J$11")="","",INDIRECT("'"&amp;$B4&amp;"'!$J$11")),""))</f>
        <v/>
      </c>
      <c r="T4" s="51" t="str">
        <f t="shared" ref="T4:T109" si="7">IF($B4="","",IFERROR(IF(INDIRECT("'"&amp;$B4&amp;"'!$J$10")="","",INDIRECT("'"&amp;$B4&amp;"'!$J$10")),""))</f>
        <v/>
      </c>
      <c r="U4" s="50" t="str">
        <f t="shared" ref="U4:U109" si="8">IF($B4="","",IFERROR(IF(INDIRECT("'"&amp;$B4&amp;"'!$F$10")="","",INDIRECT("'"&amp;$B4&amp;"'!$F$10")),""))</f>
        <v/>
      </c>
      <c r="V4" s="58" t="str">
        <f>IF('2027'!$G$8="","",'2027'!$G$8)</f>
        <v>Carona (ARP Externa)</v>
      </c>
      <c r="W4" s="58"/>
      <c r="X4" s="51" t="str">
        <f t="shared" ref="X4:X109" si="9">IF($B4="","",IFERROR(IF(INDIRECT("'"&amp;$B4&amp;"'!$F$12")="","",INDIRECT("'"&amp;$B4&amp;"'!$F$12")),""))</f>
        <v/>
      </c>
      <c r="Y4" s="51" t="str">
        <f t="shared" ref="Y4:Y109" si="10">IF($B4="","",IFERROR(IF(INDIRECT("'"&amp;$B4&amp;"'!$B$12")="","",INDIRECT("'"&amp;$B4&amp;"'!$B$12")),""))</f>
        <v/>
      </c>
      <c r="Z4" s="80" t="str">
        <f t="shared" ref="Z4:Z109" si="11">IF($B4="","",IFERROR(IF(INDIRECT("'"&amp;$B4&amp;"'!$J$13")="","",INDIRECT("'"&amp;$B4&amp;"'!$J$13")),""))</f>
        <v/>
      </c>
      <c r="AA4" s="60"/>
      <c r="AB4" s="51" t="str">
        <f t="shared" ref="AB4:AB109" si="12">IF($B4="","",IFERROR(IF(INDIRECT("'"&amp;$B4&amp;"'!$J$4")="","",INDIRECT("'"&amp;$B4&amp;"'!$J$4")),""))</f>
        <v/>
      </c>
      <c r="AC4" s="58">
        <f t="shared" ref="AC4:AC109" si="13">IF($B4="","",2026)</f>
        <v>2026</v>
      </c>
      <c r="AD4" s="80">
        <f>IF('2027'!$M$8="","",'2027'!$M$8)</f>
        <v>42393.45</v>
      </c>
      <c r="AE4" s="49">
        <f>IF('2027'!$N$8="","",'2027'!$N$8)</f>
        <v>12</v>
      </c>
      <c r="AF4" s="80">
        <f>IF('2027'!$O$8="","",'2027'!$O$8)</f>
        <v>508721.4</v>
      </c>
      <c r="AG4" s="86"/>
      <c r="AH4" s="86"/>
      <c r="AI4" s="80">
        <f>IF('2027'!$Q$8="","",'2027'!$Q$8)</f>
        <v>508721.4</v>
      </c>
      <c r="AJ4" s="80">
        <f t="shared" ref="AJ4:AJ103" si="14">IF($B4="","",IFERROR(IF(INDIRECT("'"&amp;$B4&amp;"'!$D$21")="","",INDIRECT("'"&amp;$B4&amp;"'!$D$21")),""))</f>
        <v>0</v>
      </c>
      <c r="AK4" s="80">
        <f t="shared" ref="AK4:AK103" si="15">IF($B4="","",IFERROR(IF(INDIRECT("'"&amp;$B4&amp;"'!$E$21")="","",INDIRECT("'"&amp;$B4&amp;"'!$E$21")),""))</f>
        <v>0</v>
      </c>
      <c r="AL4" s="80">
        <f>IF('2027'!$R$8="","",'2027'!$R$8)</f>
        <v>0</v>
      </c>
      <c r="AM4" s="89">
        <f t="shared" ref="AM4:AN4" si="1">IFERROR(AI4-AJ4,0)</f>
        <v>508721.4</v>
      </c>
      <c r="AN4" s="89">
        <f t="shared" si="1"/>
        <v>0</v>
      </c>
      <c r="AO4" s="91">
        <f>IF('2027'!$S$8="","",'2027'!$S$8)</f>
        <v>1</v>
      </c>
      <c r="AP4" s="92">
        <f t="shared" ref="AP4:AP103" si="17">IFERROR(AK4/AF4,0)</f>
        <v>0</v>
      </c>
      <c r="AQ4" s="86">
        <f t="shared" ref="AQ4:AQ109" si="18">IF($B4="","",IFERROR(IF(INDIRECT("'"&amp;$B4&amp;"'!$K$21")="","",INDIRECT("'"&amp;$B4&amp;"'!$K$21")),""))</f>
        <v>0</v>
      </c>
      <c r="AR4" s="80">
        <f>IF('2027'!$T$8="","",'2027'!$T$8)</f>
        <v>19.3</v>
      </c>
      <c r="AS4" s="80">
        <f>IF('2027'!$U$8="","",'2027'!$U$8)</f>
        <v>-19.3</v>
      </c>
      <c r="AT4" s="86">
        <f t="shared" ref="AT4:AT109" si="19">IF($B4="","",IFERROR(IF(INDIRECT("'"&amp;$B4&amp;"'!$B$15")="","",INDIRECT("'"&amp;$B4&amp;"'!$B$15")),""))</f>
        <v>0</v>
      </c>
      <c r="AU4" s="86"/>
      <c r="AV4" s="96" t="str">
        <f t="shared" ref="AV4:AV109" si="20">IF($B4="","",IFERROR(IF(INDIRECT("'"&amp;$B4&amp;"'!$B$14")="","",INDIRECT("'"&amp;$B4&amp;"'!$B$14")),""))</f>
        <v/>
      </c>
      <c r="AW4" s="97" t="str">
        <f t="shared" ref="AW4:AW109" si="21">IF($B4="","",AY4)</f>
        <v/>
      </c>
      <c r="AX4" s="97" t="str">
        <f t="shared" ref="AX4:AX109" si="22">IF($B4="","",IFERROR(IF(INDIRECT("'"&amp;$B4&amp;"'!$F$14")="","",INDIRECT("'"&amp;$B4&amp;"'!$F$14")),""))</f>
        <v/>
      </c>
      <c r="AY4" s="60" t="str">
        <f t="shared" ref="AY4:AY103" si="23">IF($B4="","",IFERROR(IF(INDIRECT("'"&amp;$B4&amp;"'!$D$35")="","",INDIRECT("'"&amp;$B4&amp;"'!$D$35")),""))</f>
        <v/>
      </c>
      <c r="AZ4" s="97" t="str">
        <f t="shared" ref="AZ4:AZ109" si="24">IF($B4="","",IFERROR(IF(INDIRECT("'"&amp;$B4&amp;"'!$J$14")="","",INDIRECT("'"&amp;$B4&amp;"'!$J$14")),""))</f>
        <v/>
      </c>
      <c r="BA4" s="49">
        <f t="shared" ref="BA4:BA103" si="25">IF($B4="","",IFERROR(IF(INDIRECT("'"&amp;$B4&amp;"'!$I$21")="","",INDIRECT("'"&amp;$B4&amp;"'!$I$21")),""))</f>
        <v>0</v>
      </c>
      <c r="BB4" s="80">
        <f t="shared" ref="BB4:BB103" si="26">IF($B4="","",IFERROR(IF(INDIRECT("'"&amp;$B4&amp;"'!$C$67")="","",INDIRECT("'"&amp;$B4&amp;"'!$C$67")),""))</f>
        <v>0</v>
      </c>
      <c r="BC4" s="80">
        <f t="shared" ref="BC4:BC103" si="27">IF($B4="","",IFERROR(IF(INDIRECT("'"&amp;$B4&amp;"'!$D$68")="","",INDIRECT("'"&amp;$B4&amp;"'!$D$68")),""))</f>
        <v>0</v>
      </c>
      <c r="BD4" s="89">
        <f t="shared" ref="BD4:BD103" si="28">IFERROR(Z4+BB4-BC4,0)</f>
        <v>0</v>
      </c>
      <c r="BE4" s="60" t="str">
        <f t="shared" ref="BE4:BE103" si="29">IF($B4="","",IFERROR(IF(INDIRECT("'"&amp;$B4&amp;"'!$J$21")="","",INDIRECT("'"&amp;$B4&amp;"'!$J$21")),""))</f>
        <v/>
      </c>
      <c r="BF4" s="102" t="str">
        <f t="shared" ref="BF4:BF109" si="30">IF($B4="","",IFERROR(IF(INDIRECT("'"&amp;$B4&amp;"'!$F$15")="","",INDIRECT("'"&amp;$B4&amp;"'!$F$15")),""))</f>
        <v/>
      </c>
      <c r="BG4" s="103" t="str">
        <f t="shared" ref="BG4:BG103" si="31">IFERROR(N4-TODAY(),"")</f>
        <v/>
      </c>
      <c r="BH4" s="104" t="str">
        <f t="shared" ref="BH4:BH103" si="32">IF(N4="","",IF(AND(N4-TODAY()&gt;=0,N4-TODAY()&lt;=90),"Sim","Não"))</f>
        <v>#VALUE!</v>
      </c>
      <c r="BI4" s="104" t="str">
        <f t="shared" ref="BI4:BI103" si="33">IF(N4="","",IF(N4&lt;TODAY(),"Sim","Não"))</f>
        <v>Não</v>
      </c>
      <c r="BJ4" s="104" t="str">
        <f t="shared" ref="BJ4:BJ103" si="34">IF(AF4=0,"",IF(IFERROR(AL4/AF4,0)&lt;0.2,"Sim","Não"))</f>
        <v>Sim</v>
      </c>
      <c r="BK4" s="104" t="str">
        <f t="shared" ref="BK4:BK103" si="35">IF(AF4=0,"",IF(IFERROR(AK4/AF4,0)&gt;0.9,"Sim","Não"))</f>
        <v>Não</v>
      </c>
      <c r="BL4" s="104" t="str">
        <f t="shared" ref="BL4:BL103" si="36">IF(AY4="","",IF(TODAY()-AY4&gt;60,"Sim","Não"))</f>
        <v/>
      </c>
      <c r="BM4" s="57" t="str">
        <f>IF('2027'!$V$8="","",'2027'!$V$8)</f>
        <v>Projeção anual para 2027. Referência de 2026: R$ 508.721,40 empenhados. O saldo de R$ 19,30 do elemento 3.3.90.33, compartilhado com o Contrato nº 64/2025, foi registrado somente nesta linha para evitar duplicidade.</v>
      </c>
      <c r="BN4" s="80">
        <f t="shared" ref="BN4:BN109" si="37">IF($B4="","",IFERROR(IF(INDIRECT("'"&amp;$B4&amp;"'!$B$24")="","",INDIRECT("'"&amp;$B4&amp;"'!$B$24")),""))</f>
        <v>0</v>
      </c>
      <c r="BO4" s="80">
        <f t="shared" ref="BO4:BO109" si="38">IF($B4="","",IFERROR(IF(INDIRECT("'"&amp;$B4&amp;"'!$B$25")="","",INDIRECT("'"&amp;$B4&amp;"'!$B$25")),""))</f>
        <v>0</v>
      </c>
      <c r="BP4" s="80">
        <f t="shared" ref="BP4:BP109" si="39">IF($B4="","",IFERROR(IF(INDIRECT("'"&amp;$B4&amp;"'!$B$26")="","",INDIRECT("'"&amp;$B4&amp;"'!$B$26")),""))</f>
        <v>0</v>
      </c>
      <c r="BQ4" s="80">
        <f t="shared" ref="BQ4:BQ109" si="40">IF($B4="","",IFERROR(IF(INDIRECT("'"&amp;$B4&amp;"'!$B$27")="","",INDIRECT("'"&amp;$B4&amp;"'!$B$27")),""))</f>
        <v>0</v>
      </c>
      <c r="BR4" s="80">
        <f t="shared" ref="BR4:BR109" si="41">IF($B4="","",IFERROR(IF(INDIRECT("'"&amp;$B4&amp;"'!$B$28")="","",INDIRECT("'"&amp;$B4&amp;"'!$B$28")),""))</f>
        <v>0</v>
      </c>
      <c r="BS4" s="116" t="str">
        <f t="shared" ref="BS4:BS109" si="42">IF($B4="","",IF(AK4="","",IF(ROUND(AK4-SUM(BN4:BR4),2)&gt;0,"Verificar — pagamento sem fonte",IF(ROUND(AK4-SUM(BN4:BR4),2)&lt;0,"Verificar — fonte &gt; pago","OK"))))</f>
        <v>OK</v>
      </c>
    </row>
    <row r="5" ht="32.25" customHeight="1">
      <c r="A5" s="49" t="str">
        <f>IF('2027'!$E$9="","",'2027'!$E$9)</f>
        <v>39/2022</v>
      </c>
      <c r="B5" s="50"/>
      <c r="C5" s="51" t="str">
        <f>IF('2027'!$B$9="","",'2027'!$B$9)</f>
        <v>024.000144/2025-54</v>
      </c>
      <c r="D5" s="51" t="str">
        <f>IF('2027'!$C$9="","",'2027'!$C$9)</f>
        <v>ISAIAS RODRIGUES DOS ANJOS</v>
      </c>
      <c r="E5" s="51" t="str">
        <f>IF('2027'!$D$9="","",'2027'!$D$9)</f>
        <v>768.916.742-04</v>
      </c>
      <c r="F5" s="119" t="str">
        <f>IF('2027'!$E$9="","",'2027'!$E$9)</f>
        <v>39/2022</v>
      </c>
      <c r="G5" s="51" t="str">
        <f>IF('2027'!$F$9="","",'2027'!$F$9)</f>
        <v>Contrato de Locação de Imóveis</v>
      </c>
      <c r="H5" s="57" t="str">
        <f>IF('2027'!$H$9="","",'2027'!$H$9)</f>
        <v>Locação do imóvel onde funciona a sede administrativa do Distrito de Extrema.</v>
      </c>
      <c r="I5" s="58"/>
      <c r="J5" s="51" t="str">
        <f>IF('2027'!$I$9="","",'2027'!$I$9)</f>
        <v>Contrato continuado</v>
      </c>
      <c r="K5" s="51" t="str">
        <f t="shared" si="2"/>
        <v/>
      </c>
      <c r="L5" s="51" t="str">
        <f>IF('2027'!$J$9="","",'2027'!$J$9)</f>
        <v>Global</v>
      </c>
      <c r="M5" s="60" t="str">
        <f>IF('2027'!$K$9="","",'2027'!$K$9)</f>
        <v>7/23/2022</v>
      </c>
      <c r="N5" s="60" t="str">
        <f>IF('2027'!$L$9="","",'2027'!$L$9)</f>
        <v>7/22/2027</v>
      </c>
      <c r="O5" s="58" t="str">
        <f t="shared" si="3"/>
        <v/>
      </c>
      <c r="P5" s="58"/>
      <c r="Q5" s="51" t="str">
        <f t="shared" si="4"/>
        <v/>
      </c>
      <c r="R5" s="51" t="str">
        <f t="shared" si="5"/>
        <v/>
      </c>
      <c r="S5" s="58" t="str">
        <f t="shared" si="6"/>
        <v/>
      </c>
      <c r="T5" s="51" t="str">
        <f t="shared" si="7"/>
        <v/>
      </c>
      <c r="U5" s="50" t="str">
        <f t="shared" si="8"/>
        <v/>
      </c>
      <c r="V5" s="58" t="str">
        <f>IF('2027'!$G$9="","",'2027'!$G$9)</f>
        <v>Dispensa</v>
      </c>
      <c r="W5" s="58"/>
      <c r="X5" s="51" t="str">
        <f t="shared" si="9"/>
        <v/>
      </c>
      <c r="Y5" s="51" t="str">
        <f t="shared" si="10"/>
        <v/>
      </c>
      <c r="Z5" s="80" t="str">
        <f t="shared" si="11"/>
        <v/>
      </c>
      <c r="AA5" s="60"/>
      <c r="AB5" s="51" t="str">
        <f t="shared" si="12"/>
        <v/>
      </c>
      <c r="AC5" s="58" t="str">
        <f t="shared" si="13"/>
        <v/>
      </c>
      <c r="AD5" s="80">
        <f>IF('2027'!$M$9="","",'2027'!$M$9)</f>
        <v>4117</v>
      </c>
      <c r="AE5" s="49">
        <f>IF('2027'!$N$9="","",'2027'!$N$9)</f>
        <v>12</v>
      </c>
      <c r="AF5" s="80">
        <f>IF('2027'!$O$9="","",'2027'!$O$9)</f>
        <v>49404</v>
      </c>
      <c r="AG5" s="86"/>
      <c r="AH5" s="86"/>
      <c r="AI5" s="80">
        <f>IF('2027'!$Q$9="","",'2027'!$Q$9)</f>
        <v>49721</v>
      </c>
      <c r="AJ5" s="80" t="str">
        <f t="shared" si="14"/>
        <v/>
      </c>
      <c r="AK5" s="80" t="str">
        <f t="shared" si="15"/>
        <v/>
      </c>
      <c r="AL5" s="80">
        <f>IF('2027'!$R$9="","",'2027'!$R$9)</f>
        <v>-317</v>
      </c>
      <c r="AM5" s="89">
        <f t="shared" ref="AM5:AN5" si="16">IFERROR(AI5-AJ5,0)</f>
        <v>49721</v>
      </c>
      <c r="AN5" s="89">
        <f t="shared" si="16"/>
        <v>0</v>
      </c>
      <c r="AO5" s="91">
        <f>IF('2027'!$S$9="","",'2027'!$S$9)</f>
        <v>1.006416484</v>
      </c>
      <c r="AP5" s="92">
        <f t="shared" si="17"/>
        <v>0</v>
      </c>
      <c r="AQ5" s="86" t="str">
        <f t="shared" si="18"/>
        <v/>
      </c>
      <c r="AR5" s="80">
        <f>IF('2027'!$T$9="","",'2027'!$T$9)</f>
        <v>1959.02</v>
      </c>
      <c r="AS5" s="80">
        <f>IF('2027'!$U$9="","",'2027'!$U$9)</f>
        <v>-2276.02</v>
      </c>
      <c r="AT5" s="86" t="str">
        <f t="shared" si="19"/>
        <v/>
      </c>
      <c r="AU5" s="86"/>
      <c r="AV5" s="96" t="str">
        <f t="shared" si="20"/>
        <v/>
      </c>
      <c r="AW5" s="97" t="str">
        <f t="shared" si="21"/>
        <v/>
      </c>
      <c r="AX5" s="97" t="str">
        <f t="shared" si="22"/>
        <v/>
      </c>
      <c r="AY5" s="60" t="str">
        <f t="shared" si="23"/>
        <v/>
      </c>
      <c r="AZ5" s="97" t="str">
        <f t="shared" si="24"/>
        <v/>
      </c>
      <c r="BA5" s="49" t="str">
        <f t="shared" si="25"/>
        <v/>
      </c>
      <c r="BB5" s="80" t="str">
        <f t="shared" si="26"/>
        <v/>
      </c>
      <c r="BC5" s="80" t="str">
        <f t="shared" si="27"/>
        <v/>
      </c>
      <c r="BD5" s="89">
        <f t="shared" si="28"/>
        <v>0</v>
      </c>
      <c r="BE5" s="60" t="str">
        <f t="shared" si="29"/>
        <v/>
      </c>
      <c r="BF5" s="102" t="str">
        <f t="shared" si="30"/>
        <v/>
      </c>
      <c r="BG5" s="103" t="str">
        <f t="shared" si="31"/>
        <v/>
      </c>
      <c r="BH5" s="104" t="str">
        <f t="shared" si="32"/>
        <v>#VALUE!</v>
      </c>
      <c r="BI5" s="104" t="str">
        <f t="shared" si="33"/>
        <v>Não</v>
      </c>
      <c r="BJ5" s="104" t="str">
        <f t="shared" si="34"/>
        <v>Sim</v>
      </c>
      <c r="BK5" s="104" t="str">
        <f t="shared" si="35"/>
        <v>Não</v>
      </c>
      <c r="BL5" s="104" t="str">
        <f t="shared" si="36"/>
        <v/>
      </c>
      <c r="BM5" s="57" t="str">
        <f>IF('2027'!$V$9="","",'2027'!$V$9)</f>
        <v>Projeção anual para 2027. Referência de 2026: R$ 49.721,00 empenhados, considerando o processo principal e o processo apartado nº 024.000319/2026-12. O saldo de R$ 1.959,02 do elemento 3.3.90.36, compartilhado com as demais locações de pessoa física, foi registrado somente nesta linha.</v>
      </c>
      <c r="BN5" s="80" t="str">
        <f t="shared" si="37"/>
        <v/>
      </c>
      <c r="BO5" s="80" t="str">
        <f t="shared" si="38"/>
        <v/>
      </c>
      <c r="BP5" s="80" t="str">
        <f t="shared" si="39"/>
        <v/>
      </c>
      <c r="BQ5" s="80" t="str">
        <f t="shared" si="40"/>
        <v/>
      </c>
      <c r="BR5" s="80" t="str">
        <f t="shared" si="41"/>
        <v/>
      </c>
      <c r="BS5" s="116" t="str">
        <f t="shared" si="42"/>
        <v/>
      </c>
    </row>
    <row r="6" ht="42.75" customHeight="1">
      <c r="A6" s="49" t="str">
        <f>IF('2027'!$E$10="","",'2027'!$E$10)</f>
        <v>20/2023</v>
      </c>
      <c r="B6" s="50"/>
      <c r="C6" s="51" t="str">
        <f>IF('2027'!$B$10="","",'2027'!$B$10)</f>
        <v>024.000200/2025-51</v>
      </c>
      <c r="D6" s="51" t="str">
        <f>IF('2027'!$C$10="","",'2027'!$C$10)</f>
        <v>HELENA VASCONCELOS DE ALENCAR</v>
      </c>
      <c r="E6" s="51" t="str">
        <f>IF('2027'!$D$10="","",'2027'!$D$10)</f>
        <v>161.816.892-49</v>
      </c>
      <c r="F6" s="119" t="str">
        <f>IF('2027'!$E$10="","",'2027'!$E$10)</f>
        <v>20/2023</v>
      </c>
      <c r="G6" s="51" t="str">
        <f>IF('2027'!$F$10="","",'2027'!$F$10)</f>
        <v>Contrato de Locação de Imóveis</v>
      </c>
      <c r="H6" s="57" t="str">
        <f>IF('2027'!$H$10="","",'2027'!$H$10)</f>
        <v>Locação do imóvel onde funciona a sede administrativa do Distrito de Nazaré.</v>
      </c>
      <c r="I6" s="58"/>
      <c r="J6" s="51" t="str">
        <f>IF('2027'!$I$10="","",'2027'!$I$10)</f>
        <v>Contrato continuado</v>
      </c>
      <c r="K6" s="51" t="str">
        <f t="shared" si="2"/>
        <v/>
      </c>
      <c r="L6" s="51" t="str">
        <f>IF('2027'!$J$10="","",'2027'!$J$10)</f>
        <v>Global</v>
      </c>
      <c r="M6" s="60" t="str">
        <f>IF('2027'!$K$10="","",'2027'!$K$10)</f>
        <v>4/14/2023</v>
      </c>
      <c r="N6" s="60" t="str">
        <f>IF('2027'!$L$10="","",'2027'!$L$10)</f>
        <v>4/13/2027</v>
      </c>
      <c r="O6" s="58" t="str">
        <f t="shared" si="3"/>
        <v/>
      </c>
      <c r="P6" s="58"/>
      <c r="Q6" s="51" t="str">
        <f t="shared" si="4"/>
        <v/>
      </c>
      <c r="R6" s="51" t="str">
        <f t="shared" si="5"/>
        <v/>
      </c>
      <c r="S6" s="58" t="str">
        <f t="shared" si="6"/>
        <v/>
      </c>
      <c r="T6" s="51" t="str">
        <f t="shared" si="7"/>
        <v/>
      </c>
      <c r="U6" s="50" t="str">
        <f t="shared" si="8"/>
        <v/>
      </c>
      <c r="V6" s="58" t="str">
        <f>IF('2027'!$G$10="","",'2027'!$G$10)</f>
        <v>Dispensa</v>
      </c>
      <c r="W6" s="58"/>
      <c r="X6" s="51" t="str">
        <f t="shared" si="9"/>
        <v/>
      </c>
      <c r="Y6" s="51" t="str">
        <f t="shared" si="10"/>
        <v/>
      </c>
      <c r="Z6" s="80" t="str">
        <f t="shared" si="11"/>
        <v/>
      </c>
      <c r="AA6" s="60"/>
      <c r="AB6" s="51" t="str">
        <f t="shared" si="12"/>
        <v/>
      </c>
      <c r="AC6" s="58" t="str">
        <f t="shared" si="13"/>
        <v/>
      </c>
      <c r="AD6" s="80">
        <f>IF('2027'!$M$10="","",'2027'!$M$10)</f>
        <v>1095.11</v>
      </c>
      <c r="AE6" s="49">
        <f>IF('2027'!$N$10="","",'2027'!$N$10)</f>
        <v>12</v>
      </c>
      <c r="AF6" s="80">
        <f>IF('2027'!$O$10="","",'2027'!$O$10)</f>
        <v>13141.32</v>
      </c>
      <c r="AG6" s="86"/>
      <c r="AH6" s="86"/>
      <c r="AI6" s="80">
        <f>IF('2027'!$Q$10="","",'2027'!$Q$10)</f>
        <v>13443.69</v>
      </c>
      <c r="AJ6" s="80" t="str">
        <f t="shared" si="14"/>
        <v/>
      </c>
      <c r="AK6" s="80" t="str">
        <f t="shared" si="15"/>
        <v/>
      </c>
      <c r="AL6" s="80">
        <f>IF('2027'!$R$10="","",'2027'!$R$10)</f>
        <v>-302.37</v>
      </c>
      <c r="AM6" s="89">
        <f t="shared" ref="AM6:AN6" si="43">IFERROR(AI6-AJ6,0)</f>
        <v>13443.69</v>
      </c>
      <c r="AN6" s="89">
        <f t="shared" si="43"/>
        <v>0</v>
      </c>
      <c r="AO6" s="91">
        <f>IF('2027'!$S$10="","",'2027'!$S$10)</f>
        <v>1.023009104</v>
      </c>
      <c r="AP6" s="92">
        <f t="shared" si="17"/>
        <v>0</v>
      </c>
      <c r="AQ6" s="86" t="str">
        <f t="shared" si="18"/>
        <v/>
      </c>
      <c r="AR6" s="80" t="str">
        <f>IF('2027'!$T$10="","",'2027'!$T$10)</f>
        <v>-</v>
      </c>
      <c r="AS6" s="80">
        <f>IF('2027'!$U$10="","",'2027'!$U$10)</f>
        <v>0</v>
      </c>
      <c r="AT6" s="86" t="str">
        <f t="shared" si="19"/>
        <v/>
      </c>
      <c r="AU6" s="86"/>
      <c r="AV6" s="96" t="str">
        <f t="shared" si="20"/>
        <v/>
      </c>
      <c r="AW6" s="97" t="str">
        <f t="shared" si="21"/>
        <v/>
      </c>
      <c r="AX6" s="97" t="str">
        <f t="shared" si="22"/>
        <v/>
      </c>
      <c r="AY6" s="60" t="str">
        <f t="shared" si="23"/>
        <v/>
      </c>
      <c r="AZ6" s="97" t="str">
        <f t="shared" si="24"/>
        <v/>
      </c>
      <c r="BA6" s="49" t="str">
        <f t="shared" si="25"/>
        <v/>
      </c>
      <c r="BB6" s="80" t="str">
        <f t="shared" si="26"/>
        <v/>
      </c>
      <c r="BC6" s="80" t="str">
        <f t="shared" si="27"/>
        <v/>
      </c>
      <c r="BD6" s="89">
        <f t="shared" si="28"/>
        <v>0</v>
      </c>
      <c r="BE6" s="60" t="str">
        <f t="shared" si="29"/>
        <v/>
      </c>
      <c r="BF6" s="102" t="str">
        <f t="shared" si="30"/>
        <v/>
      </c>
      <c r="BG6" s="103" t="str">
        <f t="shared" si="31"/>
        <v/>
      </c>
      <c r="BH6" s="104" t="str">
        <f t="shared" si="32"/>
        <v>#VALUE!</v>
      </c>
      <c r="BI6" s="104" t="str">
        <f t="shared" si="33"/>
        <v>Não</v>
      </c>
      <c r="BJ6" s="104" t="str">
        <f t="shared" si="34"/>
        <v>Sim</v>
      </c>
      <c r="BK6" s="104" t="str">
        <f t="shared" si="35"/>
        <v>Não</v>
      </c>
      <c r="BL6" s="104" t="str">
        <f t="shared" si="36"/>
        <v/>
      </c>
      <c r="BM6" s="57" t="str">
        <f>IF('2027'!$V$10="","",'2027'!$V$10)</f>
        <v>Projeção anual para 2027. Referência de 2026: R$ 13.443,69 empenhados. O saldo compartilhado do elemento 3.3.90.36 foi registrado na linha do Contrato nº 39/2022 para não ser somado em duplicidade.</v>
      </c>
      <c r="BN6" s="80" t="str">
        <f t="shared" si="37"/>
        <v/>
      </c>
      <c r="BO6" s="80" t="str">
        <f t="shared" si="38"/>
        <v/>
      </c>
      <c r="BP6" s="80" t="str">
        <f t="shared" si="39"/>
        <v/>
      </c>
      <c r="BQ6" s="80" t="str">
        <f t="shared" si="40"/>
        <v/>
      </c>
      <c r="BR6" s="80" t="str">
        <f t="shared" si="41"/>
        <v/>
      </c>
      <c r="BS6" s="116" t="str">
        <f t="shared" si="42"/>
        <v/>
      </c>
    </row>
    <row r="7" ht="42.75" customHeight="1">
      <c r="A7" s="49" t="str">
        <f>IF('2027'!$E$11="","",'2027'!$E$11)</f>
        <v>92/2023</v>
      </c>
      <c r="B7" s="50"/>
      <c r="C7" s="51" t="str">
        <f>IF('2027'!$B$11="","",'2027'!$B$11)</f>
        <v>024.000150/2025-10</v>
      </c>
      <c r="D7" s="51" t="str">
        <f>IF('2027'!$C$11="","",'2027'!$C$11)</f>
        <v>FUNDO PENITENCIARIO DO ESTADO DE RONDONIA - FUPEN</v>
      </c>
      <c r="E7" s="51" t="str">
        <f>IF('2027'!$D$11="","",'2027'!$D$11)</f>
        <v>15.837.081/0001-56</v>
      </c>
      <c r="F7" s="119" t="str">
        <f>IF('2027'!$E$11="","",'2027'!$E$11)</f>
        <v>92/2023</v>
      </c>
      <c r="G7" s="51" t="str">
        <f>IF('2027'!$F$11="","",'2027'!$F$11)</f>
        <v>Convênio Administrativo</v>
      </c>
      <c r="H7" s="57" t="str">
        <f>IF('2027'!$H$11="","",'2027'!$H$11)</f>
        <v>Cooperação para disponibilização de 1 reeducando em regime aberto, em atividade de serviços gerais na SMD.</v>
      </c>
      <c r="I7" s="58"/>
      <c r="J7" s="51" t="str">
        <f>IF('2027'!$I$11="","",'2027'!$I$11)</f>
        <v>Contrato continuado</v>
      </c>
      <c r="K7" s="51" t="str">
        <f t="shared" si="2"/>
        <v/>
      </c>
      <c r="L7" s="51" t="str">
        <f>IF('2027'!$J$11="","",'2027'!$J$11)</f>
        <v>Estimativo</v>
      </c>
      <c r="M7" s="60">
        <f>IF('2027'!$K$11="","",'2027'!$K$11)</f>
        <v>45234</v>
      </c>
      <c r="N7" s="60">
        <f>IF('2027'!$L$11="","",'2027'!$L$11)</f>
        <v>46664</v>
      </c>
      <c r="O7" s="58" t="str">
        <f t="shared" si="3"/>
        <v/>
      </c>
      <c r="P7" s="58"/>
      <c r="Q7" s="51" t="str">
        <f t="shared" si="4"/>
        <v/>
      </c>
      <c r="R7" s="51" t="str">
        <f t="shared" si="5"/>
        <v/>
      </c>
      <c r="S7" s="58" t="str">
        <f t="shared" si="6"/>
        <v/>
      </c>
      <c r="T7" s="51" t="str">
        <f t="shared" si="7"/>
        <v/>
      </c>
      <c r="U7" s="50" t="str">
        <f t="shared" si="8"/>
        <v/>
      </c>
      <c r="V7" s="58" t="str">
        <f>IF('2027'!$G$11="","",'2027'!$G$11)</f>
        <v/>
      </c>
      <c r="W7" s="58"/>
      <c r="X7" s="51" t="str">
        <f t="shared" si="9"/>
        <v/>
      </c>
      <c r="Y7" s="51" t="str">
        <f t="shared" si="10"/>
        <v/>
      </c>
      <c r="Z7" s="80" t="str">
        <f t="shared" si="11"/>
        <v/>
      </c>
      <c r="AA7" s="60"/>
      <c r="AB7" s="51" t="str">
        <f t="shared" si="12"/>
        <v/>
      </c>
      <c r="AC7" s="58" t="str">
        <f t="shared" si="13"/>
        <v/>
      </c>
      <c r="AD7" s="80">
        <f>IF('2027'!$M$11="","",'2027'!$M$11)</f>
        <v>2526.25</v>
      </c>
      <c r="AE7" s="49">
        <f>IF('2027'!$N$11="","",'2027'!$N$11)</f>
        <v>12</v>
      </c>
      <c r="AF7" s="80">
        <f>IF('2027'!$O$11="","",'2027'!$O$11)</f>
        <v>30315</v>
      </c>
      <c r="AG7" s="86"/>
      <c r="AH7" s="86"/>
      <c r="AI7" s="80">
        <f>IF('2027'!$Q$11="","",'2027'!$Q$11)</f>
        <v>31365.67</v>
      </c>
      <c r="AJ7" s="80" t="str">
        <f t="shared" si="14"/>
        <v/>
      </c>
      <c r="AK7" s="80" t="str">
        <f t="shared" si="15"/>
        <v/>
      </c>
      <c r="AL7" s="80">
        <f>IF('2027'!$R$11="","",'2027'!$R$11)</f>
        <v>-1050.67</v>
      </c>
      <c r="AM7" s="89">
        <f t="shared" ref="AM7:AN7" si="44">IFERROR(AI7-AJ7,0)</f>
        <v>31365.67</v>
      </c>
      <c r="AN7" s="89">
        <f t="shared" si="44"/>
        <v>0</v>
      </c>
      <c r="AO7" s="91">
        <f>IF('2027'!$S$11="","",'2027'!$S$11)</f>
        <v>1.03465842</v>
      </c>
      <c r="AP7" s="92">
        <f t="shared" si="17"/>
        <v>0</v>
      </c>
      <c r="AQ7" s="86" t="str">
        <f t="shared" si="18"/>
        <v/>
      </c>
      <c r="AR7" s="80" t="str">
        <f>IF('2027'!$T$11="","",'2027'!$T$11)</f>
        <v>-</v>
      </c>
      <c r="AS7" s="80">
        <f>IF('2027'!$U$11="","",'2027'!$U$11)</f>
        <v>0</v>
      </c>
      <c r="AT7" s="86" t="str">
        <f t="shared" si="19"/>
        <v/>
      </c>
      <c r="AU7" s="86"/>
      <c r="AV7" s="96" t="str">
        <f t="shared" si="20"/>
        <v/>
      </c>
      <c r="AW7" s="97" t="str">
        <f t="shared" si="21"/>
        <v/>
      </c>
      <c r="AX7" s="97" t="str">
        <f t="shared" si="22"/>
        <v/>
      </c>
      <c r="AY7" s="60" t="str">
        <f t="shared" si="23"/>
        <v/>
      </c>
      <c r="AZ7" s="97" t="str">
        <f t="shared" si="24"/>
        <v/>
      </c>
      <c r="BA7" s="49" t="str">
        <f t="shared" si="25"/>
        <v/>
      </c>
      <c r="BB7" s="80" t="str">
        <f t="shared" si="26"/>
        <v/>
      </c>
      <c r="BC7" s="80" t="str">
        <f t="shared" si="27"/>
        <v/>
      </c>
      <c r="BD7" s="89">
        <f t="shared" si="28"/>
        <v>0</v>
      </c>
      <c r="BE7" s="60" t="str">
        <f t="shared" si="29"/>
        <v/>
      </c>
      <c r="BF7" s="102" t="str">
        <f t="shared" si="30"/>
        <v/>
      </c>
      <c r="BG7" s="103">
        <f t="shared" si="31"/>
        <v>406</v>
      </c>
      <c r="BH7" s="104" t="str">
        <f t="shared" si="32"/>
        <v>Não</v>
      </c>
      <c r="BI7" s="104" t="str">
        <f t="shared" si="33"/>
        <v>Não</v>
      </c>
      <c r="BJ7" s="104" t="str">
        <f t="shared" si="34"/>
        <v>Sim</v>
      </c>
      <c r="BK7" s="104" t="str">
        <f t="shared" si="35"/>
        <v>Não</v>
      </c>
      <c r="BL7" s="104" t="str">
        <f t="shared" si="36"/>
        <v/>
      </c>
      <c r="BM7" s="57" t="str">
        <f>IF('2027'!$V$11="","",'2027'!$V$11)</f>
        <v>Projeção anual para 2027. Referência de 2026: R$ 31.365,67 empenhados líquidos, incluída a despesa de exercício anterior vinculada ao instrumento. Não foi identificado saldo livre específico no elemento para registro nesta linha.</v>
      </c>
      <c r="BN7" s="80" t="str">
        <f t="shared" si="37"/>
        <v/>
      </c>
      <c r="BO7" s="80" t="str">
        <f t="shared" si="38"/>
        <v/>
      </c>
      <c r="BP7" s="80" t="str">
        <f t="shared" si="39"/>
        <v/>
      </c>
      <c r="BQ7" s="80" t="str">
        <f t="shared" si="40"/>
        <v/>
      </c>
      <c r="BR7" s="80" t="str">
        <f t="shared" si="41"/>
        <v/>
      </c>
      <c r="BS7" s="116" t="str">
        <f t="shared" si="42"/>
        <v/>
      </c>
    </row>
    <row r="8" ht="53.25" customHeight="1">
      <c r="A8" s="49" t="str">
        <f>IF('2027'!$E$12="","",'2027'!$E$12)</f>
        <v>16/2023</v>
      </c>
      <c r="B8" s="50"/>
      <c r="C8" s="51" t="str">
        <f>IF('2027'!$B$12="","",'2027'!$B$12)</f>
        <v>024.000145/2025-07</v>
      </c>
      <c r="D8" s="51" t="str">
        <f>IF('2027'!$C$12="","",'2027'!$C$12)</f>
        <v>IMOBILIÁRIA ATRIUM LTDA</v>
      </c>
      <c r="E8" s="51" t="str">
        <f>IF('2027'!$D$12="","",'2027'!$D$12)</f>
        <v>21.309.241/0001-97</v>
      </c>
      <c r="F8" s="119" t="str">
        <f>IF('2027'!$E$12="","",'2027'!$E$12)</f>
        <v>16/2023</v>
      </c>
      <c r="G8" s="51" t="str">
        <f>IF('2027'!$F$12="","",'2027'!$F$12)</f>
        <v>Contrato de Locação de Imóveis</v>
      </c>
      <c r="H8" s="57" t="str">
        <f>IF('2027'!$H$12="","",'2027'!$H$12)</f>
        <v>Locação do imóvel onde funciona a sede administrativa da SMD.</v>
      </c>
      <c r="I8" s="58"/>
      <c r="J8" s="51" t="str">
        <f>IF('2027'!$I$12="","",'2027'!$I$12)</f>
        <v>Contrato continuado</v>
      </c>
      <c r="K8" s="51" t="str">
        <f t="shared" si="2"/>
        <v/>
      </c>
      <c r="L8" s="51" t="str">
        <f>IF('2027'!$J$12="","",'2027'!$J$12)</f>
        <v>Global</v>
      </c>
      <c r="M8" s="60" t="str">
        <f>IF('2027'!$K$12="","",'2027'!$K$12)</f>
        <v>3/16/2023</v>
      </c>
      <c r="N8" s="60" t="str">
        <f>IF('2027'!$L$12="","",'2027'!$L$12)</f>
        <v>9/14/2027</v>
      </c>
      <c r="O8" s="58" t="str">
        <f t="shared" si="3"/>
        <v/>
      </c>
      <c r="P8" s="58"/>
      <c r="Q8" s="51" t="str">
        <f t="shared" si="4"/>
        <v/>
      </c>
      <c r="R8" s="51" t="str">
        <f t="shared" si="5"/>
        <v/>
      </c>
      <c r="S8" s="58" t="str">
        <f t="shared" si="6"/>
        <v/>
      </c>
      <c r="T8" s="51" t="str">
        <f t="shared" si="7"/>
        <v/>
      </c>
      <c r="U8" s="50" t="str">
        <f t="shared" si="8"/>
        <v/>
      </c>
      <c r="V8" s="58" t="str">
        <f>IF('2027'!$G$12="","",'2027'!$G$12)</f>
        <v>Dispensa</v>
      </c>
      <c r="W8" s="58"/>
      <c r="X8" s="51" t="str">
        <f t="shared" si="9"/>
        <v/>
      </c>
      <c r="Y8" s="51" t="str">
        <f t="shared" si="10"/>
        <v/>
      </c>
      <c r="Z8" s="80" t="str">
        <f t="shared" si="11"/>
        <v/>
      </c>
      <c r="AA8" s="60"/>
      <c r="AB8" s="51" t="str">
        <f t="shared" si="12"/>
        <v/>
      </c>
      <c r="AC8" s="58" t="str">
        <f t="shared" si="13"/>
        <v/>
      </c>
      <c r="AD8" s="80">
        <f>IF('2027'!$M$12="","",'2027'!$M$12)</f>
        <v>13000</v>
      </c>
      <c r="AE8" s="49">
        <f>IF('2027'!$N$12="","",'2027'!$N$12)</f>
        <v>12</v>
      </c>
      <c r="AF8" s="80">
        <f>IF('2027'!$O$12="","",'2027'!$O$12)</f>
        <v>156000</v>
      </c>
      <c r="AG8" s="86"/>
      <c r="AH8" s="86"/>
      <c r="AI8" s="80">
        <f>IF('2027'!$Q$12="","",'2027'!$Q$12)</f>
        <v>156000</v>
      </c>
      <c r="AJ8" s="80" t="str">
        <f t="shared" si="14"/>
        <v/>
      </c>
      <c r="AK8" s="80" t="str">
        <f t="shared" si="15"/>
        <v/>
      </c>
      <c r="AL8" s="80">
        <f>IF('2027'!$R$12="","",'2027'!$R$12)</f>
        <v>0</v>
      </c>
      <c r="AM8" s="89">
        <f t="shared" ref="AM8:AN8" si="45">IFERROR(AI8-AJ8,0)</f>
        <v>156000</v>
      </c>
      <c r="AN8" s="89">
        <f t="shared" si="45"/>
        <v>0</v>
      </c>
      <c r="AO8" s="91">
        <f>IF('2027'!$S$12="","",'2027'!$S$12)</f>
        <v>1</v>
      </c>
      <c r="AP8" s="92">
        <f t="shared" si="17"/>
        <v>0</v>
      </c>
      <c r="AQ8" s="86" t="str">
        <f t="shared" si="18"/>
        <v/>
      </c>
      <c r="AR8" s="80">
        <f>IF('2027'!$T$12="","",'2027'!$T$12)</f>
        <v>3484</v>
      </c>
      <c r="AS8" s="80">
        <f>IF('2027'!$U$12="","",'2027'!$U$12)</f>
        <v>-3484</v>
      </c>
      <c r="AT8" s="86" t="str">
        <f t="shared" si="19"/>
        <v/>
      </c>
      <c r="AU8" s="86"/>
      <c r="AV8" s="96" t="str">
        <f t="shared" si="20"/>
        <v/>
      </c>
      <c r="AW8" s="97" t="str">
        <f t="shared" si="21"/>
        <v/>
      </c>
      <c r="AX8" s="97" t="str">
        <f t="shared" si="22"/>
        <v/>
      </c>
      <c r="AY8" s="60" t="str">
        <f t="shared" si="23"/>
        <v/>
      </c>
      <c r="AZ8" s="97" t="str">
        <f t="shared" si="24"/>
        <v/>
      </c>
      <c r="BA8" s="49" t="str">
        <f t="shared" si="25"/>
        <v/>
      </c>
      <c r="BB8" s="80" t="str">
        <f t="shared" si="26"/>
        <v/>
      </c>
      <c r="BC8" s="80" t="str">
        <f t="shared" si="27"/>
        <v/>
      </c>
      <c r="BD8" s="89">
        <f t="shared" si="28"/>
        <v>0</v>
      </c>
      <c r="BE8" s="60" t="str">
        <f t="shared" si="29"/>
        <v/>
      </c>
      <c r="BF8" s="102" t="str">
        <f t="shared" si="30"/>
        <v/>
      </c>
      <c r="BG8" s="103" t="str">
        <f t="shared" si="31"/>
        <v/>
      </c>
      <c r="BH8" s="104" t="str">
        <f t="shared" si="32"/>
        <v>#VALUE!</v>
      </c>
      <c r="BI8" s="104" t="str">
        <f t="shared" si="33"/>
        <v>Não</v>
      </c>
      <c r="BJ8" s="104" t="str">
        <f t="shared" si="34"/>
        <v>Sim</v>
      </c>
      <c r="BK8" s="104" t="str">
        <f t="shared" si="35"/>
        <v>Não</v>
      </c>
      <c r="BL8" s="104" t="str">
        <f t="shared" si="36"/>
        <v/>
      </c>
      <c r="BM8" s="57" t="str">
        <f>IF('2027'!$V$12="","",'2027'!$V$12)</f>
        <v>Terceiro termo aditivo: vigência por 24 meses a partir de 15/09/2025 e aluguel mensal de R$ 13.000,00. Projeção anual para 2027. Referência de 2026: R$ 156.000,00 empenhados; saldo informado no elemento 3.3.90.39: R$ 3.484,00.</v>
      </c>
      <c r="BN8" s="80" t="str">
        <f t="shared" si="37"/>
        <v/>
      </c>
      <c r="BO8" s="80" t="str">
        <f t="shared" si="38"/>
        <v/>
      </c>
      <c r="BP8" s="80" t="str">
        <f t="shared" si="39"/>
        <v/>
      </c>
      <c r="BQ8" s="80" t="str">
        <f t="shared" si="40"/>
        <v/>
      </c>
      <c r="BR8" s="80" t="str">
        <f t="shared" si="41"/>
        <v/>
      </c>
      <c r="BS8" s="116" t="str">
        <f t="shared" si="42"/>
        <v/>
      </c>
    </row>
    <row r="9" ht="21.75" customHeight="1">
      <c r="A9" s="49" t="str">
        <f>IF('2027'!$E$13="","",'2027'!$E$13)</f>
        <v>28/2018</v>
      </c>
      <c r="B9" s="50"/>
      <c r="C9" s="51" t="str">
        <f>IF('2027'!$B$13="","",'2027'!$B$13)</f>
        <v>024.000146/2025-43</v>
      </c>
      <c r="D9" s="51" t="str">
        <f>IF('2027'!$C$13="","",'2027'!$C$13)</f>
        <v>LUCAS GOMES PATRICIO</v>
      </c>
      <c r="E9" s="51" t="str">
        <f>IF('2027'!$D$13="","",'2027'!$D$13)</f>
        <v>019.472.152-30</v>
      </c>
      <c r="F9" s="119" t="str">
        <f>IF('2027'!$E$13="","",'2027'!$E$13)</f>
        <v>28/2018</v>
      </c>
      <c r="G9" s="51" t="str">
        <f>IF('2027'!$F$13="","",'2027'!$F$13)</f>
        <v>Contrato de Locação de Imóveis</v>
      </c>
      <c r="H9" s="57" t="str">
        <f>IF('2027'!$H$13="","",'2027'!$H$13)</f>
        <v>Locação do imóvel onde funciona a sede administrativa do Distrito de União Bandeirantes.</v>
      </c>
      <c r="I9" s="58"/>
      <c r="J9" s="51" t="str">
        <f>IF('2027'!$I$13="","",'2027'!$I$13)</f>
        <v>Contrato continuado</v>
      </c>
      <c r="K9" s="51" t="str">
        <f t="shared" si="2"/>
        <v/>
      </c>
      <c r="L9" s="51" t="str">
        <f>IF('2027'!$J$13="","",'2027'!$J$13)</f>
        <v>Global</v>
      </c>
      <c r="M9" s="60" t="str">
        <f>IF('2027'!$K$13="","",'2027'!$K$13)</f>
        <v>4/17/2018</v>
      </c>
      <c r="N9" s="60" t="str">
        <f>IF('2027'!$L$13="","",'2027'!$L$13)</f>
        <v>10/15/2026</v>
      </c>
      <c r="O9" s="58" t="str">
        <f t="shared" si="3"/>
        <v/>
      </c>
      <c r="P9" s="58"/>
      <c r="Q9" s="51" t="str">
        <f t="shared" si="4"/>
        <v/>
      </c>
      <c r="R9" s="51" t="str">
        <f t="shared" si="5"/>
        <v/>
      </c>
      <c r="S9" s="58" t="str">
        <f t="shared" si="6"/>
        <v/>
      </c>
      <c r="T9" s="51" t="str">
        <f t="shared" si="7"/>
        <v/>
      </c>
      <c r="U9" s="50" t="str">
        <f t="shared" si="8"/>
        <v/>
      </c>
      <c r="V9" s="58" t="str">
        <f>IF('2027'!$G$13="","",'2027'!$G$13)</f>
        <v>Dispensa</v>
      </c>
      <c r="W9" s="58"/>
      <c r="X9" s="51" t="str">
        <f t="shared" si="9"/>
        <v/>
      </c>
      <c r="Y9" s="51" t="str">
        <f t="shared" si="10"/>
        <v/>
      </c>
      <c r="Z9" s="80" t="str">
        <f t="shared" si="11"/>
        <v/>
      </c>
      <c r="AA9" s="60"/>
      <c r="AB9" s="51" t="str">
        <f t="shared" si="12"/>
        <v/>
      </c>
      <c r="AC9" s="58" t="str">
        <f t="shared" si="13"/>
        <v/>
      </c>
      <c r="AD9" s="80">
        <f>IF('2027'!$M$13="","",'2027'!$M$13)</f>
        <v>1200</v>
      </c>
      <c r="AE9" s="49">
        <f>IF('2027'!$N$13="","",'2027'!$N$13)</f>
        <v>4</v>
      </c>
      <c r="AF9" s="80">
        <f>IF('2027'!$O$13="","",'2027'!$O$13)</f>
        <v>4800</v>
      </c>
      <c r="AG9" s="86"/>
      <c r="AH9" s="86"/>
      <c r="AI9" s="80">
        <f>IF('2027'!$Q$13="","",'2027'!$Q$13)</f>
        <v>11440</v>
      </c>
      <c r="AJ9" s="80" t="str">
        <f t="shared" si="14"/>
        <v/>
      </c>
      <c r="AK9" s="80" t="str">
        <f t="shared" si="15"/>
        <v/>
      </c>
      <c r="AL9" s="80">
        <f>IF('2027'!$R$13="","",'2027'!$R$13)</f>
        <v>-6640</v>
      </c>
      <c r="AM9" s="89">
        <f t="shared" ref="AM9:AN9" si="46">IFERROR(AI9-AJ9,0)</f>
        <v>11440</v>
      </c>
      <c r="AN9" s="89">
        <f t="shared" si="46"/>
        <v>0</v>
      </c>
      <c r="AO9" s="91">
        <f>IF('2027'!$S$13="","",'2027'!$S$13)</f>
        <v>2.383333333</v>
      </c>
      <c r="AP9" s="92">
        <f t="shared" si="17"/>
        <v>0</v>
      </c>
      <c r="AQ9" s="86" t="str">
        <f t="shared" si="18"/>
        <v/>
      </c>
      <c r="AR9" s="80" t="str">
        <f>IF('2027'!$T$13="","",'2027'!$T$13)</f>
        <v>-</v>
      </c>
      <c r="AS9" s="80">
        <f>IF('2027'!$U$13="","",'2027'!$U$13)</f>
        <v>0</v>
      </c>
      <c r="AT9" s="86" t="str">
        <f t="shared" si="19"/>
        <v/>
      </c>
      <c r="AU9" s="86"/>
      <c r="AV9" s="96" t="str">
        <f t="shared" si="20"/>
        <v/>
      </c>
      <c r="AW9" s="97" t="str">
        <f t="shared" si="21"/>
        <v/>
      </c>
      <c r="AX9" s="97" t="str">
        <f t="shared" si="22"/>
        <v/>
      </c>
      <c r="AY9" s="60" t="str">
        <f t="shared" si="23"/>
        <v/>
      </c>
      <c r="AZ9" s="97" t="str">
        <f t="shared" si="24"/>
        <v/>
      </c>
      <c r="BA9" s="49" t="str">
        <f t="shared" si="25"/>
        <v/>
      </c>
      <c r="BB9" s="80" t="str">
        <f t="shared" si="26"/>
        <v/>
      </c>
      <c r="BC9" s="80" t="str">
        <f t="shared" si="27"/>
        <v/>
      </c>
      <c r="BD9" s="89">
        <f t="shared" si="28"/>
        <v>0</v>
      </c>
      <c r="BE9" s="60" t="str">
        <f t="shared" si="29"/>
        <v/>
      </c>
      <c r="BF9" s="102" t="str">
        <f t="shared" si="30"/>
        <v/>
      </c>
      <c r="BG9" s="103" t="str">
        <f t="shared" si="31"/>
        <v/>
      </c>
      <c r="BH9" s="104" t="str">
        <f t="shared" si="32"/>
        <v>#VALUE!</v>
      </c>
      <c r="BI9" s="104" t="str">
        <f t="shared" si="33"/>
        <v>Não</v>
      </c>
      <c r="BJ9" s="104" t="str">
        <f t="shared" si="34"/>
        <v>Sim</v>
      </c>
      <c r="BK9" s="104" t="str">
        <f t="shared" si="35"/>
        <v>Não</v>
      </c>
      <c r="BL9" s="104" t="str">
        <f t="shared" si="36"/>
        <v/>
      </c>
      <c r="BM9" s="57" t="str">
        <f>IF('2027'!$V$13="","",'2027'!$V$13)</f>
        <v>Oitavo termo aditivo vigente por seis meses a partir de 16/04/2026. A necessidade foi projetada para os 12 meses de 2027, mediante nova locação ou instrumento cabível. Referência de 2026: R$ 11.440,00 empenhados. O saldo compartilhado do elemento 3.3.90.36 foi registrado na linha de Extrema.</v>
      </c>
      <c r="BN9" s="80" t="str">
        <f t="shared" si="37"/>
        <v/>
      </c>
      <c r="BO9" s="80" t="str">
        <f t="shared" si="38"/>
        <v/>
      </c>
      <c r="BP9" s="80" t="str">
        <f t="shared" si="39"/>
        <v/>
      </c>
      <c r="BQ9" s="80" t="str">
        <f t="shared" si="40"/>
        <v/>
      </c>
      <c r="BR9" s="80" t="str">
        <f t="shared" si="41"/>
        <v/>
      </c>
      <c r="BS9" s="116" t="str">
        <f t="shared" si="42"/>
        <v/>
      </c>
    </row>
    <row r="10" ht="21.75" customHeight="1">
      <c r="A10" s="49" t="str">
        <f>IF('2027'!$E$14="","",'2027'!$E$14)</f>
        <v>64/2025</v>
      </c>
      <c r="B10" s="50"/>
      <c r="C10" s="51" t="str">
        <f>IF('2027'!$B$14="","",'2027'!$B$14)</f>
        <v>024.000050/2025-85</v>
      </c>
      <c r="D10" s="51" t="str">
        <f>IF('2027'!$C$14="","",'2027'!$C$14)</f>
        <v>KAELE LTDA</v>
      </c>
      <c r="E10" s="51" t="str">
        <f>IF('2027'!$D$14="","",'2027'!$D$14)</f>
        <v>04.819.323/0001-62</v>
      </c>
      <c r="F10" s="119" t="str">
        <f>IF('2027'!$E$14="","",'2027'!$E$14)</f>
        <v>64/2025</v>
      </c>
      <c r="G10" s="51" t="str">
        <f>IF('2027'!$F$14="","",'2027'!$F$14)</f>
        <v>Contrato de Prestação de Serviços Contínuos</v>
      </c>
      <c r="H10" s="57" t="str">
        <f>IF('2027'!$H$14="","",'2027'!$H$14)</f>
        <v>Locação de 2 caminhonetes 4x4, sem condutor, para deslocamentos em ramais e localidades de difícil acesso.</v>
      </c>
      <c r="I10" s="58"/>
      <c r="J10" s="51" t="str">
        <f>IF('2027'!$I$14="","",'2027'!$I$14)</f>
        <v>Contrato continuado</v>
      </c>
      <c r="K10" s="51" t="str">
        <f t="shared" si="2"/>
        <v/>
      </c>
      <c r="L10" s="51" t="str">
        <f>IF('2027'!$J$14="","",'2027'!$J$14)</f>
        <v>Global</v>
      </c>
      <c r="M10" s="60">
        <f>IF('2027'!$K$14="","",'2027'!$K$14)</f>
        <v>45728</v>
      </c>
      <c r="N10" s="60">
        <f>IF('2027'!$L$14="","",'2027'!$L$14)</f>
        <v>46065</v>
      </c>
      <c r="O10" s="58" t="str">
        <f t="shared" si="3"/>
        <v/>
      </c>
      <c r="P10" s="58"/>
      <c r="Q10" s="51" t="str">
        <f t="shared" si="4"/>
        <v/>
      </c>
      <c r="R10" s="51" t="str">
        <f t="shared" si="5"/>
        <v/>
      </c>
      <c r="S10" s="58" t="str">
        <f t="shared" si="6"/>
        <v/>
      </c>
      <c r="T10" s="51" t="str">
        <f t="shared" si="7"/>
        <v/>
      </c>
      <c r="U10" s="50" t="str">
        <f t="shared" si="8"/>
        <v/>
      </c>
      <c r="V10" s="58" t="str">
        <f>IF('2027'!$G$14="","",'2027'!$G$14)</f>
        <v>Carona (ARP Externa)</v>
      </c>
      <c r="W10" s="58"/>
      <c r="X10" s="51" t="str">
        <f t="shared" si="9"/>
        <v/>
      </c>
      <c r="Y10" s="51" t="str">
        <f t="shared" si="10"/>
        <v/>
      </c>
      <c r="Z10" s="80" t="str">
        <f t="shared" si="11"/>
        <v/>
      </c>
      <c r="AA10" s="60"/>
      <c r="AB10" s="51" t="str">
        <f t="shared" si="12"/>
        <v/>
      </c>
      <c r="AC10" s="58" t="str">
        <f t="shared" si="13"/>
        <v/>
      </c>
      <c r="AD10" s="80">
        <f>IF('2027'!$M$14="","",'2027'!$M$14)</f>
        <v>26220</v>
      </c>
      <c r="AE10" s="49">
        <f>IF('2027'!$N$14="","",'2027'!$N$14)</f>
        <v>12</v>
      </c>
      <c r="AF10" s="80">
        <f>IF('2027'!$O$14="","",'2027'!$O$14)</f>
        <v>314640</v>
      </c>
      <c r="AG10" s="86"/>
      <c r="AH10" s="86"/>
      <c r="AI10" s="80">
        <f>IF('2027'!$Q$14="","",'2027'!$Q$14)</f>
        <v>314640</v>
      </c>
      <c r="AJ10" s="80" t="str">
        <f t="shared" si="14"/>
        <v/>
      </c>
      <c r="AK10" s="80" t="str">
        <f t="shared" si="15"/>
        <v/>
      </c>
      <c r="AL10" s="80">
        <f>IF('2027'!$R$14="","",'2027'!$R$14)</f>
        <v>0</v>
      </c>
      <c r="AM10" s="89">
        <f t="shared" ref="AM10:AN10" si="47">IFERROR(AI10-AJ10,0)</f>
        <v>314640</v>
      </c>
      <c r="AN10" s="89">
        <f t="shared" si="47"/>
        <v>0</v>
      </c>
      <c r="AO10" s="91">
        <f>IF('2027'!$S$14="","",'2027'!$S$14)</f>
        <v>1</v>
      </c>
      <c r="AP10" s="92">
        <f t="shared" si="17"/>
        <v>0</v>
      </c>
      <c r="AQ10" s="86" t="str">
        <f t="shared" si="18"/>
        <v/>
      </c>
      <c r="AR10" s="80" t="str">
        <f>IF('2027'!$T$14="","",'2027'!$T$14)</f>
        <v>-</v>
      </c>
      <c r="AS10" s="80">
        <f>IF('2027'!$U$14="","",'2027'!$U$14)</f>
        <v>0</v>
      </c>
      <c r="AT10" s="86" t="str">
        <f t="shared" si="19"/>
        <v/>
      </c>
      <c r="AU10" s="86"/>
      <c r="AV10" s="96" t="str">
        <f t="shared" si="20"/>
        <v/>
      </c>
      <c r="AW10" s="97" t="str">
        <f t="shared" si="21"/>
        <v/>
      </c>
      <c r="AX10" s="97" t="str">
        <f t="shared" si="22"/>
        <v/>
      </c>
      <c r="AY10" s="60" t="str">
        <f t="shared" si="23"/>
        <v/>
      </c>
      <c r="AZ10" s="97" t="str">
        <f t="shared" si="24"/>
        <v/>
      </c>
      <c r="BA10" s="49" t="str">
        <f t="shared" si="25"/>
        <v/>
      </c>
      <c r="BB10" s="80" t="str">
        <f t="shared" si="26"/>
        <v/>
      </c>
      <c r="BC10" s="80" t="str">
        <f t="shared" si="27"/>
        <v/>
      </c>
      <c r="BD10" s="89">
        <f t="shared" si="28"/>
        <v>0</v>
      </c>
      <c r="BE10" s="60" t="str">
        <f t="shared" si="29"/>
        <v/>
      </c>
      <c r="BF10" s="102" t="str">
        <f t="shared" si="30"/>
        <v/>
      </c>
      <c r="BG10" s="103">
        <f t="shared" si="31"/>
        <v>-193</v>
      </c>
      <c r="BH10" s="104" t="str">
        <f t="shared" si="32"/>
        <v>Não</v>
      </c>
      <c r="BI10" s="104" t="str">
        <f t="shared" si="33"/>
        <v>Sim</v>
      </c>
      <c r="BJ10" s="104" t="str">
        <f t="shared" si="34"/>
        <v>Sim</v>
      </c>
      <c r="BK10" s="104" t="str">
        <f t="shared" si="35"/>
        <v>Não</v>
      </c>
      <c r="BL10" s="104" t="str">
        <f t="shared" si="36"/>
        <v/>
      </c>
      <c r="BM10" s="57" t="str">
        <f>IF('2027'!$V$14="","",'2027'!$V$14)</f>
        <v>Contrato com prazo de 12 meses contado da assinatura em 03/12/2025. A continuidade foi projetada para todo o exercício de 2027. Referência de 2026: R$ 314.640,00 empenhados. O saldo compartilhado do elemento 3.3.90.33 foi registrado na linha do Contrato nº 66/2024.</v>
      </c>
      <c r="BN10" s="80" t="str">
        <f t="shared" si="37"/>
        <v/>
      </c>
      <c r="BO10" s="80" t="str">
        <f t="shared" si="38"/>
        <v/>
      </c>
      <c r="BP10" s="80" t="str">
        <f t="shared" si="39"/>
        <v/>
      </c>
      <c r="BQ10" s="80" t="str">
        <f t="shared" si="40"/>
        <v/>
      </c>
      <c r="BR10" s="80" t="str">
        <f t="shared" si="41"/>
        <v/>
      </c>
      <c r="BS10" s="116" t="str">
        <f t="shared" si="42"/>
        <v/>
      </c>
    </row>
    <row r="11" ht="84.75" customHeight="1">
      <c r="A11" s="49" t="str">
        <f>IF('2027'!$E$15="","",'2027'!$E$15)</f>
        <v/>
      </c>
      <c r="B11" s="50"/>
      <c r="C11" s="51" t="str">
        <f>IF('2027'!$B$15="","",'2027'!$B$15)</f>
        <v/>
      </c>
      <c r="D11" s="51" t="str">
        <f>IF('2027'!$C$15="","",'2027'!$C$15)</f>
        <v>LOCAÇÃO NOVO IMOVEL SEDE SMD EM UNIÃO BANDEIRANTES.</v>
      </c>
      <c r="E11" s="51" t="str">
        <f>IF('2027'!$D$15="","",'2027'!$D$15)</f>
        <v/>
      </c>
      <c r="F11" s="51" t="str">
        <f>IF('2027'!$E$15="","",'2027'!$E$15)</f>
        <v/>
      </c>
      <c r="G11" s="51" t="str">
        <f>IF('2027'!$F$15="","",'2027'!$F$15)</f>
        <v/>
      </c>
      <c r="H11" s="57" t="str">
        <f>IF('2027'!$H$15="","",'2027'!$H$15)</f>
        <v>Locação do imóvel onde funciona a sede administrativa do Distrito de União Bandeirantes.</v>
      </c>
      <c r="I11" s="58"/>
      <c r="J11" s="51" t="str">
        <f>IF('2027'!$I$15="","",'2027'!$I$15)</f>
        <v/>
      </c>
      <c r="K11" s="51" t="str">
        <f t="shared" si="2"/>
        <v/>
      </c>
      <c r="L11" s="51" t="str">
        <f>IF('2027'!$J$15="","",'2027'!$J$15)</f>
        <v/>
      </c>
      <c r="M11" s="60" t="str">
        <f>IF('2027'!$K$15="","",'2027'!$K$15)</f>
        <v/>
      </c>
      <c r="N11" s="60" t="str">
        <f>IF('2027'!$L$15="","",'2027'!$L$15)</f>
        <v/>
      </c>
      <c r="O11" s="58" t="str">
        <f t="shared" si="3"/>
        <v/>
      </c>
      <c r="P11" s="58"/>
      <c r="Q11" s="51" t="str">
        <f t="shared" si="4"/>
        <v/>
      </c>
      <c r="R11" s="51" t="str">
        <f t="shared" si="5"/>
        <v/>
      </c>
      <c r="S11" s="58" t="str">
        <f t="shared" si="6"/>
        <v/>
      </c>
      <c r="T11" s="51" t="str">
        <f t="shared" si="7"/>
        <v/>
      </c>
      <c r="U11" s="50" t="str">
        <f t="shared" si="8"/>
        <v/>
      </c>
      <c r="V11" s="58" t="str">
        <f>IF('2027'!$G$15="","",'2027'!$G$15)</f>
        <v/>
      </c>
      <c r="W11" s="58"/>
      <c r="X11" s="51" t="str">
        <f t="shared" si="9"/>
        <v/>
      </c>
      <c r="Y11" s="51" t="str">
        <f t="shared" si="10"/>
        <v/>
      </c>
      <c r="Z11" s="80" t="str">
        <f t="shared" si="11"/>
        <v/>
      </c>
      <c r="AA11" s="60"/>
      <c r="AB11" s="51" t="str">
        <f t="shared" si="12"/>
        <v/>
      </c>
      <c r="AC11" s="58" t="str">
        <f t="shared" si="13"/>
        <v/>
      </c>
      <c r="AD11" s="80">
        <f>IF('2027'!$M$15="","",'2027'!$M$15)</f>
        <v>3000</v>
      </c>
      <c r="AE11" s="49">
        <f>IF('2027'!$N$15="","",'2027'!$N$15)</f>
        <v>8</v>
      </c>
      <c r="AF11" s="80">
        <f>IF('2027'!$O$15="","",'2027'!$O$15)</f>
        <v>24000</v>
      </c>
      <c r="AG11" s="86"/>
      <c r="AH11" s="86"/>
      <c r="AI11" s="80" t="str">
        <f>IF('2027'!$Q$15="","",'2027'!$Q$15)</f>
        <v/>
      </c>
      <c r="AJ11" s="80" t="str">
        <f t="shared" si="14"/>
        <v/>
      </c>
      <c r="AK11" s="80" t="str">
        <f t="shared" si="15"/>
        <v/>
      </c>
      <c r="AL11" s="80">
        <f>IF('2027'!$R$15="","",'2027'!$R$15)</f>
        <v>24000</v>
      </c>
      <c r="AM11" s="89">
        <f t="shared" ref="AM11:AN11" si="48">IFERROR(AI11-AJ11,0)</f>
        <v>0</v>
      </c>
      <c r="AN11" s="89">
        <f t="shared" si="48"/>
        <v>0</v>
      </c>
      <c r="AO11" s="91">
        <f>IF('2027'!$S$15="","",'2027'!$S$15)</f>
        <v>0</v>
      </c>
      <c r="AP11" s="92">
        <f t="shared" si="17"/>
        <v>0</v>
      </c>
      <c r="AQ11" s="86" t="str">
        <f t="shared" si="18"/>
        <v/>
      </c>
      <c r="AR11" s="80" t="str">
        <f>IF('2027'!$T$15="","",'2027'!$T$15)</f>
        <v/>
      </c>
      <c r="AS11" s="80">
        <f>IF('2027'!$U$15="","",'2027'!$U$15)</f>
        <v>24000</v>
      </c>
      <c r="AT11" s="86" t="str">
        <f t="shared" si="19"/>
        <v/>
      </c>
      <c r="AU11" s="86"/>
      <c r="AV11" s="96" t="str">
        <f t="shared" si="20"/>
        <v/>
      </c>
      <c r="AW11" s="97" t="str">
        <f t="shared" si="21"/>
        <v/>
      </c>
      <c r="AX11" s="97" t="str">
        <f t="shared" si="22"/>
        <v/>
      </c>
      <c r="AY11" s="60" t="str">
        <f t="shared" si="23"/>
        <v/>
      </c>
      <c r="AZ11" s="97" t="str">
        <f t="shared" si="24"/>
        <v/>
      </c>
      <c r="BA11" s="49" t="str">
        <f t="shared" si="25"/>
        <v/>
      </c>
      <c r="BB11" s="80" t="str">
        <f t="shared" si="26"/>
        <v/>
      </c>
      <c r="BC11" s="80" t="str">
        <f t="shared" si="27"/>
        <v/>
      </c>
      <c r="BD11" s="89">
        <f t="shared" si="28"/>
        <v>0</v>
      </c>
      <c r="BE11" s="60" t="str">
        <f t="shared" si="29"/>
        <v/>
      </c>
      <c r="BF11" s="102" t="str">
        <f t="shared" si="30"/>
        <v/>
      </c>
      <c r="BG11" s="103">
        <f t="shared" si="31"/>
        <v>-46258</v>
      </c>
      <c r="BH11" s="104" t="str">
        <f t="shared" si="32"/>
        <v/>
      </c>
      <c r="BI11" s="104" t="str">
        <f t="shared" si="33"/>
        <v/>
      </c>
      <c r="BJ11" s="104" t="str">
        <f t="shared" si="34"/>
        <v>Não</v>
      </c>
      <c r="BK11" s="104" t="str">
        <f t="shared" si="35"/>
        <v>Não</v>
      </c>
      <c r="BL11" s="104" t="str">
        <f t="shared" si="36"/>
        <v/>
      </c>
      <c r="BM11" s="57" t="str">
        <f>IF('2027'!$V$15="","",'2027'!$V$15)</f>
        <v>Previsão para locação de novo imóvel destinado à sede administrativa do Distrito de União Bandeirantes, em substituição ao imóvel atualmente utilizado, cuja estrutura não oferece condições adequadas para o atendimento à população, o desenvolvimento das atividades administrativas e a guarda dos equipamentos da SMD. Prevê-se a prorrogação temporária da locação atual, de outubro de 2026 até abril de 2027, para assegurar a continuidade do atendimento, com início da instrução do novo processo em janeiro de 2027. A seleção observará a adequação do imóvel, a avaliação mercadológica, a regularidade documental e a busca pelo menor valor compatível com as necessidades da unidade, em atenção à economicidade e ao interesse público.</v>
      </c>
      <c r="BN11" s="80" t="str">
        <f t="shared" si="37"/>
        <v/>
      </c>
      <c r="BO11" s="80" t="str">
        <f t="shared" si="38"/>
        <v/>
      </c>
      <c r="BP11" s="80" t="str">
        <f t="shared" si="39"/>
        <v/>
      </c>
      <c r="BQ11" s="80" t="str">
        <f t="shared" si="40"/>
        <v/>
      </c>
      <c r="BR11" s="80" t="str">
        <f t="shared" si="41"/>
        <v/>
      </c>
      <c r="BS11" s="116" t="str">
        <f t="shared" si="42"/>
        <v/>
      </c>
    </row>
    <row r="12" ht="84.75" customHeight="1">
      <c r="A12" s="49" t="str">
        <f>IF('2027'!$E$16="","",'2027'!$E$16)</f>
        <v/>
      </c>
      <c r="B12" s="50"/>
      <c r="C12" s="51" t="str">
        <f>IF('2027'!$B$16="","",'2027'!$B$16)</f>
        <v/>
      </c>
      <c r="D12" s="51" t="str">
        <f>IF('2027'!$C$16="","",'2027'!$C$16)</f>
        <v/>
      </c>
      <c r="E12" s="51" t="str">
        <f>IF('2027'!$D$16="","",'2027'!$D$16)</f>
        <v/>
      </c>
      <c r="F12" s="51" t="str">
        <f>IF('2027'!$E$16="","",'2027'!$E$16)</f>
        <v/>
      </c>
      <c r="G12" s="51" t="str">
        <f>IF('2027'!$F$16="","",'2027'!$F$16)</f>
        <v/>
      </c>
      <c r="H12" s="57" t="str">
        <f>IF('2027'!$H$16="","",'2027'!$H$16)</f>
        <v/>
      </c>
      <c r="I12" s="58"/>
      <c r="J12" s="51" t="str">
        <f>IF('2027'!$I$16="","",'2027'!$I$16)</f>
        <v/>
      </c>
      <c r="K12" s="51" t="str">
        <f t="shared" si="2"/>
        <v/>
      </c>
      <c r="L12" s="51" t="str">
        <f>IF('2027'!$J$16="","",'2027'!$J$16)</f>
        <v/>
      </c>
      <c r="M12" s="60" t="str">
        <f>IF('2027'!$K$16="","",'2027'!$K$16)</f>
        <v/>
      </c>
      <c r="N12" s="60" t="str">
        <f>IF('2027'!$L$16="","",'2027'!$L$16)</f>
        <v/>
      </c>
      <c r="O12" s="58" t="str">
        <f t="shared" si="3"/>
        <v/>
      </c>
      <c r="P12" s="58"/>
      <c r="Q12" s="51" t="str">
        <f t="shared" si="4"/>
        <v/>
      </c>
      <c r="R12" s="51" t="str">
        <f t="shared" si="5"/>
        <v/>
      </c>
      <c r="S12" s="58" t="str">
        <f t="shared" si="6"/>
        <v/>
      </c>
      <c r="T12" s="51" t="str">
        <f t="shared" si="7"/>
        <v/>
      </c>
      <c r="U12" s="50" t="str">
        <f t="shared" si="8"/>
        <v/>
      </c>
      <c r="V12" s="58" t="str">
        <f>IF('2027'!$G$16="","",'2027'!$G$16)</f>
        <v/>
      </c>
      <c r="W12" s="58"/>
      <c r="X12" s="51" t="str">
        <f t="shared" si="9"/>
        <v/>
      </c>
      <c r="Y12" s="51" t="str">
        <f t="shared" si="10"/>
        <v/>
      </c>
      <c r="Z12" s="80" t="str">
        <f t="shared" si="11"/>
        <v/>
      </c>
      <c r="AA12" s="60"/>
      <c r="AB12" s="51" t="str">
        <f t="shared" si="12"/>
        <v/>
      </c>
      <c r="AC12" s="58" t="str">
        <f t="shared" si="13"/>
        <v/>
      </c>
      <c r="AD12" s="80" t="str">
        <f>IF('2027'!$M$16="","",'2027'!$M$16)</f>
        <v/>
      </c>
      <c r="AE12" s="49" t="str">
        <f>IF('2027'!$N$16="","",'2027'!$N$16)</f>
        <v/>
      </c>
      <c r="AF12" s="80">
        <f>IF('2027'!$O$16="","",'2027'!$O$16)</f>
        <v>0</v>
      </c>
      <c r="AG12" s="86"/>
      <c r="AH12" s="86"/>
      <c r="AI12" s="80" t="str">
        <f>IF('2027'!$Q$16="","",'2027'!$Q$16)</f>
        <v/>
      </c>
      <c r="AJ12" s="80" t="str">
        <f t="shared" si="14"/>
        <v/>
      </c>
      <c r="AK12" s="80" t="str">
        <f t="shared" si="15"/>
        <v/>
      </c>
      <c r="AL12" s="80">
        <f>IF('2027'!$R$16="","",'2027'!$R$16)</f>
        <v>0</v>
      </c>
      <c r="AM12" s="89">
        <f t="shared" ref="AM12:AN12" si="49">IFERROR(AI12-AJ12,0)</f>
        <v>0</v>
      </c>
      <c r="AN12" s="89">
        <f t="shared" si="49"/>
        <v>0</v>
      </c>
      <c r="AO12" s="91">
        <f>IF('2027'!$S$16="","",'2027'!$S$16)</f>
        <v>0</v>
      </c>
      <c r="AP12" s="92">
        <f t="shared" si="17"/>
        <v>0</v>
      </c>
      <c r="AQ12" s="86" t="str">
        <f t="shared" si="18"/>
        <v/>
      </c>
      <c r="AR12" s="80" t="str">
        <f>IF('2027'!$T$16="","",'2027'!$T$16)</f>
        <v/>
      </c>
      <c r="AS12" s="80">
        <f>IF('2027'!$U$16="","",'2027'!$U$16)</f>
        <v>0</v>
      </c>
      <c r="AT12" s="86" t="str">
        <f t="shared" si="19"/>
        <v/>
      </c>
      <c r="AU12" s="86"/>
      <c r="AV12" s="96" t="str">
        <f t="shared" si="20"/>
        <v/>
      </c>
      <c r="AW12" s="97" t="str">
        <f t="shared" si="21"/>
        <v/>
      </c>
      <c r="AX12" s="97" t="str">
        <f t="shared" si="22"/>
        <v/>
      </c>
      <c r="AY12" s="60" t="str">
        <f t="shared" si="23"/>
        <v/>
      </c>
      <c r="AZ12" s="97" t="str">
        <f t="shared" si="24"/>
        <v/>
      </c>
      <c r="BA12" s="49" t="str">
        <f t="shared" si="25"/>
        <v/>
      </c>
      <c r="BB12" s="80" t="str">
        <f t="shared" si="26"/>
        <v/>
      </c>
      <c r="BC12" s="80" t="str">
        <f t="shared" si="27"/>
        <v/>
      </c>
      <c r="BD12" s="89">
        <f t="shared" si="28"/>
        <v>0</v>
      </c>
      <c r="BE12" s="60" t="str">
        <f t="shared" si="29"/>
        <v/>
      </c>
      <c r="BF12" s="102" t="str">
        <f t="shared" si="30"/>
        <v/>
      </c>
      <c r="BG12" s="103">
        <f t="shared" si="31"/>
        <v>-46258</v>
      </c>
      <c r="BH12" s="104" t="str">
        <f t="shared" si="32"/>
        <v/>
      </c>
      <c r="BI12" s="104" t="str">
        <f t="shared" si="33"/>
        <v/>
      </c>
      <c r="BJ12" s="104" t="str">
        <f t="shared" si="34"/>
        <v/>
      </c>
      <c r="BK12" s="104" t="str">
        <f t="shared" si="35"/>
        <v/>
      </c>
      <c r="BL12" s="104" t="str">
        <f t="shared" si="36"/>
        <v/>
      </c>
      <c r="BM12" s="57" t="str">
        <f>IF('2027'!$V$16="","",'2027'!$V$16)</f>
        <v/>
      </c>
      <c r="BN12" s="80" t="str">
        <f t="shared" si="37"/>
        <v/>
      </c>
      <c r="BO12" s="80" t="str">
        <f t="shared" si="38"/>
        <v/>
      </c>
      <c r="BP12" s="80" t="str">
        <f t="shared" si="39"/>
        <v/>
      </c>
      <c r="BQ12" s="80" t="str">
        <f t="shared" si="40"/>
        <v/>
      </c>
      <c r="BR12" s="80" t="str">
        <f t="shared" si="41"/>
        <v/>
      </c>
      <c r="BS12" s="116" t="str">
        <f t="shared" si="42"/>
        <v/>
      </c>
    </row>
    <row r="13" ht="53.25" customHeight="1">
      <c r="A13" s="49" t="str">
        <f>IF('2027'!$E$17="","",'2027'!$E$17)</f>
        <v/>
      </c>
      <c r="B13" s="50"/>
      <c r="C13" s="51" t="str">
        <f>IF('2027'!$B$17="","",'2027'!$B$17)</f>
        <v/>
      </c>
      <c r="D13" s="51" t="str">
        <f>IF('2027'!$C$17="","",'2027'!$C$17)</f>
        <v/>
      </c>
      <c r="E13" s="51" t="str">
        <f>IF('2027'!$D$17="","",'2027'!$D$17)</f>
        <v/>
      </c>
      <c r="F13" s="51" t="str">
        <f>IF('2027'!$E$17="","",'2027'!$E$17)</f>
        <v/>
      </c>
      <c r="G13" s="51" t="str">
        <f>IF('2027'!$F$17="","",'2027'!$F$17)</f>
        <v/>
      </c>
      <c r="H13" s="57" t="str">
        <f>IF('2027'!$H$17="","",'2027'!$H$17)</f>
        <v/>
      </c>
      <c r="I13" s="58"/>
      <c r="J13" s="51" t="str">
        <f>IF('2027'!$I$17="","",'2027'!$I$17)</f>
        <v/>
      </c>
      <c r="K13" s="51" t="str">
        <f t="shared" si="2"/>
        <v/>
      </c>
      <c r="L13" s="51" t="str">
        <f>IF('2027'!$J$17="","",'2027'!$J$17)</f>
        <v/>
      </c>
      <c r="M13" s="60" t="str">
        <f>IF('2027'!$K$17="","",'2027'!$K$17)</f>
        <v/>
      </c>
      <c r="N13" s="60" t="str">
        <f>IF('2027'!$L$17="","",'2027'!$L$17)</f>
        <v/>
      </c>
      <c r="O13" s="58" t="str">
        <f t="shared" si="3"/>
        <v/>
      </c>
      <c r="P13" s="58"/>
      <c r="Q13" s="51" t="str">
        <f t="shared" si="4"/>
        <v/>
      </c>
      <c r="R13" s="51" t="str">
        <f t="shared" si="5"/>
        <v/>
      </c>
      <c r="S13" s="58" t="str">
        <f t="shared" si="6"/>
        <v/>
      </c>
      <c r="T13" s="51" t="str">
        <f t="shared" si="7"/>
        <v/>
      </c>
      <c r="U13" s="50" t="str">
        <f t="shared" si="8"/>
        <v/>
      </c>
      <c r="V13" s="58" t="str">
        <f>IF('2027'!$G$17="","",'2027'!$G$17)</f>
        <v/>
      </c>
      <c r="W13" s="58"/>
      <c r="X13" s="51" t="str">
        <f t="shared" si="9"/>
        <v/>
      </c>
      <c r="Y13" s="51" t="str">
        <f t="shared" si="10"/>
        <v/>
      </c>
      <c r="Z13" s="80" t="str">
        <f t="shared" si="11"/>
        <v/>
      </c>
      <c r="AA13" s="60"/>
      <c r="AB13" s="51" t="str">
        <f t="shared" si="12"/>
        <v/>
      </c>
      <c r="AC13" s="58" t="str">
        <f t="shared" si="13"/>
        <v/>
      </c>
      <c r="AD13" s="80" t="str">
        <f>IF('2027'!$M$17="","",'2027'!$M$17)</f>
        <v/>
      </c>
      <c r="AE13" s="49" t="str">
        <f>IF('2027'!$N$17="","",'2027'!$N$17)</f>
        <v/>
      </c>
      <c r="AF13" s="80">
        <f>IF('2027'!$O$17="","",'2027'!$O$17)</f>
        <v>0</v>
      </c>
      <c r="AG13" s="86"/>
      <c r="AH13" s="86"/>
      <c r="AI13" s="80" t="str">
        <f>IF('2027'!$Q$17="","",'2027'!$Q$17)</f>
        <v/>
      </c>
      <c r="AJ13" s="80" t="str">
        <f t="shared" si="14"/>
        <v/>
      </c>
      <c r="AK13" s="80" t="str">
        <f t="shared" si="15"/>
        <v/>
      </c>
      <c r="AL13" s="80">
        <f>IF('2027'!$R$17="","",'2027'!$R$17)</f>
        <v>0</v>
      </c>
      <c r="AM13" s="89">
        <f t="shared" ref="AM13:AN13" si="50">IFERROR(AI13-AJ13,0)</f>
        <v>0</v>
      </c>
      <c r="AN13" s="89">
        <f t="shared" si="50"/>
        <v>0</v>
      </c>
      <c r="AO13" s="91">
        <f>IF('2027'!$S$17="","",'2027'!$S$17)</f>
        <v>0</v>
      </c>
      <c r="AP13" s="92">
        <f t="shared" si="17"/>
        <v>0</v>
      </c>
      <c r="AQ13" s="86" t="str">
        <f t="shared" si="18"/>
        <v/>
      </c>
      <c r="AR13" s="80" t="str">
        <f>IF('2027'!$T$17="","",'2027'!$T$17)</f>
        <v/>
      </c>
      <c r="AS13" s="80">
        <f>IF('2027'!$U$17="","",'2027'!$U$17)</f>
        <v>0</v>
      </c>
      <c r="AT13" s="86" t="str">
        <f t="shared" si="19"/>
        <v/>
      </c>
      <c r="AU13" s="86"/>
      <c r="AV13" s="96" t="str">
        <f t="shared" si="20"/>
        <v/>
      </c>
      <c r="AW13" s="97" t="str">
        <f t="shared" si="21"/>
        <v/>
      </c>
      <c r="AX13" s="97" t="str">
        <f t="shared" si="22"/>
        <v/>
      </c>
      <c r="AY13" s="60" t="str">
        <f t="shared" si="23"/>
        <v/>
      </c>
      <c r="AZ13" s="97" t="str">
        <f t="shared" si="24"/>
        <v/>
      </c>
      <c r="BA13" s="49" t="str">
        <f t="shared" si="25"/>
        <v/>
      </c>
      <c r="BB13" s="80" t="str">
        <f t="shared" si="26"/>
        <v/>
      </c>
      <c r="BC13" s="80" t="str">
        <f t="shared" si="27"/>
        <v/>
      </c>
      <c r="BD13" s="89">
        <f t="shared" si="28"/>
        <v>0</v>
      </c>
      <c r="BE13" s="60" t="str">
        <f t="shared" si="29"/>
        <v/>
      </c>
      <c r="BF13" s="102" t="str">
        <f t="shared" si="30"/>
        <v/>
      </c>
      <c r="BG13" s="103">
        <f t="shared" si="31"/>
        <v>-46258</v>
      </c>
      <c r="BH13" s="104" t="str">
        <f t="shared" si="32"/>
        <v/>
      </c>
      <c r="BI13" s="104" t="str">
        <f t="shared" si="33"/>
        <v/>
      </c>
      <c r="BJ13" s="104" t="str">
        <f t="shared" si="34"/>
        <v/>
      </c>
      <c r="BK13" s="104" t="str">
        <f t="shared" si="35"/>
        <v/>
      </c>
      <c r="BL13" s="104" t="str">
        <f t="shared" si="36"/>
        <v/>
      </c>
      <c r="BM13" s="57" t="str">
        <f>IF('2027'!$V$17="","",'2027'!$V$17)</f>
        <v/>
      </c>
      <c r="BN13" s="80" t="str">
        <f t="shared" si="37"/>
        <v/>
      </c>
      <c r="BO13" s="80" t="str">
        <f t="shared" si="38"/>
        <v/>
      </c>
      <c r="BP13" s="80" t="str">
        <f t="shared" si="39"/>
        <v/>
      </c>
      <c r="BQ13" s="80" t="str">
        <f t="shared" si="40"/>
        <v/>
      </c>
      <c r="BR13" s="80" t="str">
        <f t="shared" si="41"/>
        <v/>
      </c>
      <c r="BS13" s="116" t="str">
        <f t="shared" si="42"/>
        <v/>
      </c>
    </row>
    <row r="14" ht="42.75" customHeight="1">
      <c r="A14" s="49" t="str">
        <f>IF('2027'!$E$18="","",'2027'!$E$18)</f>
        <v/>
      </c>
      <c r="B14" s="50"/>
      <c r="C14" s="51" t="str">
        <f>IF('2027'!$B$18="","",'2027'!$B$18)</f>
        <v/>
      </c>
      <c r="D14" s="51" t="str">
        <f>IF('2027'!$C$18="","",'2027'!$C$18)</f>
        <v/>
      </c>
      <c r="E14" s="51" t="str">
        <f>IF('2027'!$D$18="","",'2027'!$D$18)</f>
        <v/>
      </c>
      <c r="F14" s="51" t="str">
        <f>IF('2027'!$E$18="","",'2027'!$E$18)</f>
        <v/>
      </c>
      <c r="G14" s="51" t="str">
        <f>IF('2027'!$F$18="","",'2027'!$F$18)</f>
        <v/>
      </c>
      <c r="H14" s="57" t="str">
        <f>IF('2027'!$H$18="","",'2027'!$H$18)</f>
        <v/>
      </c>
      <c r="I14" s="58"/>
      <c r="J14" s="51" t="str">
        <f>IF('2027'!$I$18="","",'2027'!$I$18)</f>
        <v/>
      </c>
      <c r="K14" s="51" t="str">
        <f t="shared" si="2"/>
        <v/>
      </c>
      <c r="L14" s="51" t="str">
        <f>IF('2027'!$J$18="","",'2027'!$J$18)</f>
        <v/>
      </c>
      <c r="M14" s="60" t="str">
        <f>IF('2027'!$K$18="","",'2027'!$K$18)</f>
        <v/>
      </c>
      <c r="N14" s="60" t="str">
        <f>IF('2027'!$L$18="","",'2027'!$L$18)</f>
        <v/>
      </c>
      <c r="O14" s="58" t="str">
        <f t="shared" si="3"/>
        <v/>
      </c>
      <c r="P14" s="58"/>
      <c r="Q14" s="51" t="str">
        <f t="shared" si="4"/>
        <v/>
      </c>
      <c r="R14" s="51" t="str">
        <f t="shared" si="5"/>
        <v/>
      </c>
      <c r="S14" s="58" t="str">
        <f t="shared" si="6"/>
        <v/>
      </c>
      <c r="T14" s="51" t="str">
        <f t="shared" si="7"/>
        <v/>
      </c>
      <c r="U14" s="50" t="str">
        <f t="shared" si="8"/>
        <v/>
      </c>
      <c r="V14" s="58" t="str">
        <f>IF('2027'!$G$18="","",'2027'!$G$18)</f>
        <v/>
      </c>
      <c r="W14" s="58"/>
      <c r="X14" s="51" t="str">
        <f t="shared" si="9"/>
        <v/>
      </c>
      <c r="Y14" s="51" t="str">
        <f t="shared" si="10"/>
        <v/>
      </c>
      <c r="Z14" s="80" t="str">
        <f t="shared" si="11"/>
        <v/>
      </c>
      <c r="AA14" s="60"/>
      <c r="AB14" s="51" t="str">
        <f t="shared" si="12"/>
        <v/>
      </c>
      <c r="AC14" s="58" t="str">
        <f t="shared" si="13"/>
        <v/>
      </c>
      <c r="AD14" s="80" t="str">
        <f>IF('2027'!$M$18="","",'2027'!$M$18)</f>
        <v/>
      </c>
      <c r="AE14" s="49" t="str">
        <f>IF('2027'!$N$18="","",'2027'!$N$18)</f>
        <v/>
      </c>
      <c r="AF14" s="80">
        <f>IF('2027'!$O$18="","",'2027'!$O$18)</f>
        <v>0</v>
      </c>
      <c r="AG14" s="86"/>
      <c r="AH14" s="86"/>
      <c r="AI14" s="80" t="str">
        <f>IF('2027'!$Q$18="","",'2027'!$Q$18)</f>
        <v/>
      </c>
      <c r="AJ14" s="80" t="str">
        <f t="shared" si="14"/>
        <v/>
      </c>
      <c r="AK14" s="80" t="str">
        <f t="shared" si="15"/>
        <v/>
      </c>
      <c r="AL14" s="80">
        <f>IF('2027'!$R$18="","",'2027'!$R$18)</f>
        <v>0</v>
      </c>
      <c r="AM14" s="89">
        <f t="shared" ref="AM14:AN14" si="51">IFERROR(AI14-AJ14,0)</f>
        <v>0</v>
      </c>
      <c r="AN14" s="89">
        <f t="shared" si="51"/>
        <v>0</v>
      </c>
      <c r="AO14" s="91">
        <f>IF('2027'!$S$18="","",'2027'!$S$18)</f>
        <v>0</v>
      </c>
      <c r="AP14" s="92">
        <f t="shared" si="17"/>
        <v>0</v>
      </c>
      <c r="AQ14" s="86" t="str">
        <f t="shared" si="18"/>
        <v/>
      </c>
      <c r="AR14" s="80" t="str">
        <f>IF('2027'!$T$18="","",'2027'!$T$18)</f>
        <v/>
      </c>
      <c r="AS14" s="80">
        <f>IF('2027'!$U$18="","",'2027'!$U$18)</f>
        <v>0</v>
      </c>
      <c r="AT14" s="86" t="str">
        <f t="shared" si="19"/>
        <v/>
      </c>
      <c r="AU14" s="86"/>
      <c r="AV14" s="96" t="str">
        <f t="shared" si="20"/>
        <v/>
      </c>
      <c r="AW14" s="97" t="str">
        <f t="shared" si="21"/>
        <v/>
      </c>
      <c r="AX14" s="97" t="str">
        <f t="shared" si="22"/>
        <v/>
      </c>
      <c r="AY14" s="60" t="str">
        <f t="shared" si="23"/>
        <v/>
      </c>
      <c r="AZ14" s="97" t="str">
        <f t="shared" si="24"/>
        <v/>
      </c>
      <c r="BA14" s="49" t="str">
        <f t="shared" si="25"/>
        <v/>
      </c>
      <c r="BB14" s="80" t="str">
        <f t="shared" si="26"/>
        <v/>
      </c>
      <c r="BC14" s="80" t="str">
        <f t="shared" si="27"/>
        <v/>
      </c>
      <c r="BD14" s="89">
        <f t="shared" si="28"/>
        <v>0</v>
      </c>
      <c r="BE14" s="60" t="str">
        <f t="shared" si="29"/>
        <v/>
      </c>
      <c r="BF14" s="102" t="str">
        <f t="shared" si="30"/>
        <v/>
      </c>
      <c r="BG14" s="103">
        <f t="shared" si="31"/>
        <v>-46258</v>
      </c>
      <c r="BH14" s="104" t="str">
        <f t="shared" si="32"/>
        <v/>
      </c>
      <c r="BI14" s="104" t="str">
        <f t="shared" si="33"/>
        <v/>
      </c>
      <c r="BJ14" s="104" t="str">
        <f t="shared" si="34"/>
        <v/>
      </c>
      <c r="BK14" s="104" t="str">
        <f t="shared" si="35"/>
        <v/>
      </c>
      <c r="BL14" s="104" t="str">
        <f t="shared" si="36"/>
        <v/>
      </c>
      <c r="BM14" s="57" t="str">
        <f>IF('2027'!$V$18="","",'2027'!$V$18)</f>
        <v/>
      </c>
      <c r="BN14" s="80" t="str">
        <f t="shared" si="37"/>
        <v/>
      </c>
      <c r="BO14" s="80" t="str">
        <f t="shared" si="38"/>
        <v/>
      </c>
      <c r="BP14" s="80" t="str">
        <f t="shared" si="39"/>
        <v/>
      </c>
      <c r="BQ14" s="80" t="str">
        <f t="shared" si="40"/>
        <v/>
      </c>
      <c r="BR14" s="80" t="str">
        <f t="shared" si="41"/>
        <v/>
      </c>
      <c r="BS14" s="116" t="str">
        <f t="shared" si="42"/>
        <v/>
      </c>
    </row>
    <row r="15" ht="42.75" customHeight="1">
      <c r="A15" s="49" t="str">
        <f>IF('2027'!$E$19="","",'2027'!$E$19)</f>
        <v/>
      </c>
      <c r="B15" s="50"/>
      <c r="C15" s="51" t="str">
        <f>IF('2027'!$B$19="","",'2027'!$B$19)</f>
        <v/>
      </c>
      <c r="D15" s="51" t="str">
        <f>IF('2027'!$C$19="","",'2027'!$C$19)</f>
        <v/>
      </c>
      <c r="E15" s="51" t="str">
        <f>IF('2027'!$D$19="","",'2027'!$D$19)</f>
        <v/>
      </c>
      <c r="F15" s="51" t="str">
        <f>IF('2027'!$E$19="","",'2027'!$E$19)</f>
        <v/>
      </c>
      <c r="G15" s="51" t="str">
        <f>IF('2027'!$F$19="","",'2027'!$F$19)</f>
        <v/>
      </c>
      <c r="H15" s="57" t="str">
        <f>IF('2027'!$H$19="","",'2027'!$H$19)</f>
        <v/>
      </c>
      <c r="I15" s="58"/>
      <c r="J15" s="51" t="str">
        <f>IF('2027'!$I$19="","",'2027'!$I$19)</f>
        <v/>
      </c>
      <c r="K15" s="51" t="str">
        <f t="shared" si="2"/>
        <v/>
      </c>
      <c r="L15" s="51" t="str">
        <f>IF('2027'!$J$19="","",'2027'!$J$19)</f>
        <v/>
      </c>
      <c r="M15" s="60" t="str">
        <f>IF('2027'!$K$19="","",'2027'!$K$19)</f>
        <v/>
      </c>
      <c r="N15" s="60" t="str">
        <f>IF('2027'!$L$19="","",'2027'!$L$19)</f>
        <v/>
      </c>
      <c r="O15" s="58" t="str">
        <f t="shared" si="3"/>
        <v/>
      </c>
      <c r="P15" s="58"/>
      <c r="Q15" s="51" t="str">
        <f t="shared" si="4"/>
        <v/>
      </c>
      <c r="R15" s="51" t="str">
        <f t="shared" si="5"/>
        <v/>
      </c>
      <c r="S15" s="58" t="str">
        <f t="shared" si="6"/>
        <v/>
      </c>
      <c r="T15" s="51" t="str">
        <f t="shared" si="7"/>
        <v/>
      </c>
      <c r="U15" s="50" t="str">
        <f t="shared" si="8"/>
        <v/>
      </c>
      <c r="V15" s="58" t="str">
        <f>IF('2027'!$G$19="","",'2027'!$G$19)</f>
        <v/>
      </c>
      <c r="W15" s="58"/>
      <c r="X15" s="51" t="str">
        <f t="shared" si="9"/>
        <v/>
      </c>
      <c r="Y15" s="51" t="str">
        <f t="shared" si="10"/>
        <v/>
      </c>
      <c r="Z15" s="80" t="str">
        <f t="shared" si="11"/>
        <v/>
      </c>
      <c r="AA15" s="60"/>
      <c r="AB15" s="51" t="str">
        <f t="shared" si="12"/>
        <v/>
      </c>
      <c r="AC15" s="58" t="str">
        <f t="shared" si="13"/>
        <v/>
      </c>
      <c r="AD15" s="80" t="str">
        <f>IF('2027'!$M$19="","",'2027'!$M$19)</f>
        <v/>
      </c>
      <c r="AE15" s="49" t="str">
        <f>IF('2027'!$N$19="","",'2027'!$N$19)</f>
        <v/>
      </c>
      <c r="AF15" s="80">
        <f>IF('2027'!$O$19="","",'2027'!$O$19)</f>
        <v>0</v>
      </c>
      <c r="AG15" s="86"/>
      <c r="AH15" s="86"/>
      <c r="AI15" s="80" t="str">
        <f>IF('2027'!$Q$19="","",'2027'!$Q$19)</f>
        <v/>
      </c>
      <c r="AJ15" s="80" t="str">
        <f t="shared" si="14"/>
        <v/>
      </c>
      <c r="AK15" s="80" t="str">
        <f t="shared" si="15"/>
        <v/>
      </c>
      <c r="AL15" s="80">
        <f>IF('2027'!$R$19="","",'2027'!$R$19)</f>
        <v>0</v>
      </c>
      <c r="AM15" s="89">
        <f t="shared" ref="AM15:AN15" si="52">IFERROR(AI15-AJ15,0)</f>
        <v>0</v>
      </c>
      <c r="AN15" s="89">
        <f t="shared" si="52"/>
        <v>0</v>
      </c>
      <c r="AO15" s="91">
        <f>IF('2027'!$S$19="","",'2027'!$S$19)</f>
        <v>0</v>
      </c>
      <c r="AP15" s="92">
        <f t="shared" si="17"/>
        <v>0</v>
      </c>
      <c r="AQ15" s="86" t="str">
        <f t="shared" si="18"/>
        <v/>
      </c>
      <c r="AR15" s="80" t="str">
        <f>IF('2027'!$T$19="","",'2027'!$T$19)</f>
        <v/>
      </c>
      <c r="AS15" s="80">
        <f>IF('2027'!$U$19="","",'2027'!$U$19)</f>
        <v>0</v>
      </c>
      <c r="AT15" s="86" t="str">
        <f t="shared" si="19"/>
        <v/>
      </c>
      <c r="AU15" s="86"/>
      <c r="AV15" s="96" t="str">
        <f t="shared" si="20"/>
        <v/>
      </c>
      <c r="AW15" s="97" t="str">
        <f t="shared" si="21"/>
        <v/>
      </c>
      <c r="AX15" s="97" t="str">
        <f t="shared" si="22"/>
        <v/>
      </c>
      <c r="AY15" s="60" t="str">
        <f t="shared" si="23"/>
        <v/>
      </c>
      <c r="AZ15" s="97" t="str">
        <f t="shared" si="24"/>
        <v/>
      </c>
      <c r="BA15" s="49" t="str">
        <f t="shared" si="25"/>
        <v/>
      </c>
      <c r="BB15" s="80" t="str">
        <f t="shared" si="26"/>
        <v/>
      </c>
      <c r="BC15" s="80" t="str">
        <f t="shared" si="27"/>
        <v/>
      </c>
      <c r="BD15" s="89">
        <f t="shared" si="28"/>
        <v>0</v>
      </c>
      <c r="BE15" s="60" t="str">
        <f t="shared" si="29"/>
        <v/>
      </c>
      <c r="BF15" s="102" t="str">
        <f t="shared" si="30"/>
        <v/>
      </c>
      <c r="BG15" s="103">
        <f t="shared" si="31"/>
        <v>-46258</v>
      </c>
      <c r="BH15" s="104" t="str">
        <f t="shared" si="32"/>
        <v/>
      </c>
      <c r="BI15" s="104" t="str">
        <f t="shared" si="33"/>
        <v/>
      </c>
      <c r="BJ15" s="104" t="str">
        <f t="shared" si="34"/>
        <v/>
      </c>
      <c r="BK15" s="104" t="str">
        <f t="shared" si="35"/>
        <v/>
      </c>
      <c r="BL15" s="104" t="str">
        <f t="shared" si="36"/>
        <v/>
      </c>
      <c r="BM15" s="57" t="str">
        <f>IF('2027'!$V$19="","",'2027'!$V$19)</f>
        <v/>
      </c>
      <c r="BN15" s="80" t="str">
        <f t="shared" si="37"/>
        <v/>
      </c>
      <c r="BO15" s="80" t="str">
        <f t="shared" si="38"/>
        <v/>
      </c>
      <c r="BP15" s="80" t="str">
        <f t="shared" si="39"/>
        <v/>
      </c>
      <c r="BQ15" s="80" t="str">
        <f t="shared" si="40"/>
        <v/>
      </c>
      <c r="BR15" s="80" t="str">
        <f t="shared" si="41"/>
        <v/>
      </c>
      <c r="BS15" s="116" t="str">
        <f t="shared" si="42"/>
        <v/>
      </c>
    </row>
    <row r="16" ht="42.75" customHeight="1">
      <c r="A16" s="49" t="str">
        <f>IF('2027'!$E$20="","",'2027'!$E$20)</f>
        <v/>
      </c>
      <c r="B16" s="50"/>
      <c r="C16" s="51" t="str">
        <f>IF('2027'!$B$20="","",'2027'!$B$20)</f>
        <v/>
      </c>
      <c r="D16" s="51" t="str">
        <f>IF('2027'!$C$20="","",'2027'!$C$20)</f>
        <v/>
      </c>
      <c r="E16" s="51" t="str">
        <f>IF('2027'!$D$20="","",'2027'!$D$20)</f>
        <v/>
      </c>
      <c r="F16" s="51" t="str">
        <f>IF('2027'!$E$20="","",'2027'!$E$20)</f>
        <v/>
      </c>
      <c r="G16" s="51" t="str">
        <f>IF('2027'!$F$20="","",'2027'!$F$20)</f>
        <v/>
      </c>
      <c r="H16" s="57" t="str">
        <f>IF('2027'!$H$20="","",'2027'!$H$20)</f>
        <v/>
      </c>
      <c r="I16" s="58"/>
      <c r="J16" s="51" t="str">
        <f>IF('2027'!$I$20="","",'2027'!$I$20)</f>
        <v/>
      </c>
      <c r="K16" s="51" t="str">
        <f t="shared" si="2"/>
        <v/>
      </c>
      <c r="L16" s="51" t="str">
        <f>IF('2027'!$J$20="","",'2027'!$J$20)</f>
        <v/>
      </c>
      <c r="M16" s="60" t="str">
        <f>IF('2027'!$K$20="","",'2027'!$K$20)</f>
        <v/>
      </c>
      <c r="N16" s="60" t="str">
        <f>IF('2027'!$L$20="","",'2027'!$L$20)</f>
        <v/>
      </c>
      <c r="O16" s="58" t="str">
        <f t="shared" si="3"/>
        <v/>
      </c>
      <c r="P16" s="58"/>
      <c r="Q16" s="51" t="str">
        <f t="shared" si="4"/>
        <v/>
      </c>
      <c r="R16" s="51" t="str">
        <f t="shared" si="5"/>
        <v/>
      </c>
      <c r="S16" s="58" t="str">
        <f t="shared" si="6"/>
        <v/>
      </c>
      <c r="T16" s="51" t="str">
        <f t="shared" si="7"/>
        <v/>
      </c>
      <c r="U16" s="50" t="str">
        <f t="shared" si="8"/>
        <v/>
      </c>
      <c r="V16" s="58" t="str">
        <f>IF('2027'!$G$20="","",'2027'!$G$20)</f>
        <v/>
      </c>
      <c r="W16" s="58"/>
      <c r="X16" s="51" t="str">
        <f t="shared" si="9"/>
        <v/>
      </c>
      <c r="Y16" s="51" t="str">
        <f t="shared" si="10"/>
        <v/>
      </c>
      <c r="Z16" s="80" t="str">
        <f t="shared" si="11"/>
        <v/>
      </c>
      <c r="AA16" s="60"/>
      <c r="AB16" s="51" t="str">
        <f t="shared" si="12"/>
        <v/>
      </c>
      <c r="AC16" s="58" t="str">
        <f t="shared" si="13"/>
        <v/>
      </c>
      <c r="AD16" s="80" t="str">
        <f>IF('2027'!$M$20="","",'2027'!$M$20)</f>
        <v/>
      </c>
      <c r="AE16" s="49" t="str">
        <f>IF('2027'!$N$20="","",'2027'!$N$20)</f>
        <v/>
      </c>
      <c r="AF16" s="80">
        <f>IF('2027'!$O$20="","",'2027'!$O$20)</f>
        <v>0</v>
      </c>
      <c r="AG16" s="86"/>
      <c r="AH16" s="86"/>
      <c r="AI16" s="80" t="str">
        <f>IF('2027'!$Q$20="","",'2027'!$Q$20)</f>
        <v/>
      </c>
      <c r="AJ16" s="80" t="str">
        <f t="shared" si="14"/>
        <v/>
      </c>
      <c r="AK16" s="80" t="str">
        <f t="shared" si="15"/>
        <v/>
      </c>
      <c r="AL16" s="80">
        <f>IF('2027'!$R$20="","",'2027'!$R$20)</f>
        <v>0</v>
      </c>
      <c r="AM16" s="89">
        <f t="shared" ref="AM16:AN16" si="53">IFERROR(AI16-AJ16,0)</f>
        <v>0</v>
      </c>
      <c r="AN16" s="89">
        <f t="shared" si="53"/>
        <v>0</v>
      </c>
      <c r="AO16" s="91">
        <f>IF('2027'!$S$20="","",'2027'!$S$20)</f>
        <v>0</v>
      </c>
      <c r="AP16" s="92">
        <f t="shared" si="17"/>
        <v>0</v>
      </c>
      <c r="AQ16" s="86" t="str">
        <f t="shared" si="18"/>
        <v/>
      </c>
      <c r="AR16" s="80" t="str">
        <f>IF('2027'!$T$20="","",'2027'!$T$20)</f>
        <v/>
      </c>
      <c r="AS16" s="80">
        <f>IF('2027'!$U$20="","",'2027'!$U$20)</f>
        <v>0</v>
      </c>
      <c r="AT16" s="86" t="str">
        <f t="shared" si="19"/>
        <v/>
      </c>
      <c r="AU16" s="86"/>
      <c r="AV16" s="96" t="str">
        <f t="shared" si="20"/>
        <v/>
      </c>
      <c r="AW16" s="97" t="str">
        <f t="shared" si="21"/>
        <v/>
      </c>
      <c r="AX16" s="97" t="str">
        <f t="shared" si="22"/>
        <v/>
      </c>
      <c r="AY16" s="60" t="str">
        <f t="shared" si="23"/>
        <v/>
      </c>
      <c r="AZ16" s="97" t="str">
        <f t="shared" si="24"/>
        <v/>
      </c>
      <c r="BA16" s="49" t="str">
        <f t="shared" si="25"/>
        <v/>
      </c>
      <c r="BB16" s="80" t="str">
        <f t="shared" si="26"/>
        <v/>
      </c>
      <c r="BC16" s="80" t="str">
        <f t="shared" si="27"/>
        <v/>
      </c>
      <c r="BD16" s="89">
        <f t="shared" si="28"/>
        <v>0</v>
      </c>
      <c r="BE16" s="60" t="str">
        <f t="shared" si="29"/>
        <v/>
      </c>
      <c r="BF16" s="102" t="str">
        <f t="shared" si="30"/>
        <v/>
      </c>
      <c r="BG16" s="103">
        <f t="shared" si="31"/>
        <v>-46258</v>
      </c>
      <c r="BH16" s="104" t="str">
        <f t="shared" si="32"/>
        <v/>
      </c>
      <c r="BI16" s="104" t="str">
        <f t="shared" si="33"/>
        <v/>
      </c>
      <c r="BJ16" s="104" t="str">
        <f t="shared" si="34"/>
        <v/>
      </c>
      <c r="BK16" s="104" t="str">
        <f t="shared" si="35"/>
        <v/>
      </c>
      <c r="BL16" s="104" t="str">
        <f t="shared" si="36"/>
        <v/>
      </c>
      <c r="BM16" s="57" t="str">
        <f>IF('2027'!$V$20="","",'2027'!$V$20)</f>
        <v/>
      </c>
      <c r="BN16" s="80" t="str">
        <f t="shared" si="37"/>
        <v/>
      </c>
      <c r="BO16" s="80" t="str">
        <f t="shared" si="38"/>
        <v/>
      </c>
      <c r="BP16" s="80" t="str">
        <f t="shared" si="39"/>
        <v/>
      </c>
      <c r="BQ16" s="80" t="str">
        <f t="shared" si="40"/>
        <v/>
      </c>
      <c r="BR16" s="80" t="str">
        <f t="shared" si="41"/>
        <v/>
      </c>
      <c r="BS16" s="116" t="str">
        <f t="shared" si="42"/>
        <v/>
      </c>
    </row>
    <row r="17" ht="42.75" customHeight="1">
      <c r="A17" s="49" t="str">
        <f>IF('2027'!$E$21="","",'2027'!$E$21)</f>
        <v/>
      </c>
      <c r="B17" s="50"/>
      <c r="C17" s="51" t="str">
        <f>IF('2027'!$B$21="","",'2027'!$B$21)</f>
        <v/>
      </c>
      <c r="D17" s="51" t="str">
        <f>IF('2027'!$C$21="","",'2027'!$C$21)</f>
        <v/>
      </c>
      <c r="E17" s="51" t="str">
        <f>IF('2027'!$D$21="","",'2027'!$D$21)</f>
        <v/>
      </c>
      <c r="F17" s="51" t="str">
        <f>IF('2027'!$E$21="","",'2027'!$E$21)</f>
        <v/>
      </c>
      <c r="G17" s="51" t="str">
        <f>IF('2027'!$F$21="","",'2027'!$F$21)</f>
        <v/>
      </c>
      <c r="H17" s="57" t="str">
        <f>IF('2027'!$H$21="","",'2027'!$H$21)</f>
        <v/>
      </c>
      <c r="I17" s="58"/>
      <c r="J17" s="51" t="str">
        <f>IF('2027'!$I$21="","",'2027'!$I$21)</f>
        <v/>
      </c>
      <c r="K17" s="51" t="str">
        <f t="shared" si="2"/>
        <v/>
      </c>
      <c r="L17" s="51" t="str">
        <f>IF('2027'!$J$21="","",'2027'!$J$21)</f>
        <v/>
      </c>
      <c r="M17" s="60" t="str">
        <f>IF('2027'!$K$21="","",'2027'!$K$21)</f>
        <v/>
      </c>
      <c r="N17" s="60" t="str">
        <f>IF('2027'!$L$21="","",'2027'!$L$21)</f>
        <v/>
      </c>
      <c r="O17" s="58" t="str">
        <f t="shared" si="3"/>
        <v/>
      </c>
      <c r="P17" s="58"/>
      <c r="Q17" s="51" t="str">
        <f t="shared" si="4"/>
        <v/>
      </c>
      <c r="R17" s="51" t="str">
        <f t="shared" si="5"/>
        <v/>
      </c>
      <c r="S17" s="58" t="str">
        <f t="shared" si="6"/>
        <v/>
      </c>
      <c r="T17" s="51" t="str">
        <f t="shared" si="7"/>
        <v/>
      </c>
      <c r="U17" s="50" t="str">
        <f t="shared" si="8"/>
        <v/>
      </c>
      <c r="V17" s="58" t="str">
        <f>IF('2027'!$G$21="","",'2027'!$G$21)</f>
        <v/>
      </c>
      <c r="W17" s="58"/>
      <c r="X17" s="51" t="str">
        <f t="shared" si="9"/>
        <v/>
      </c>
      <c r="Y17" s="51" t="str">
        <f t="shared" si="10"/>
        <v/>
      </c>
      <c r="Z17" s="80" t="str">
        <f t="shared" si="11"/>
        <v/>
      </c>
      <c r="AA17" s="60"/>
      <c r="AB17" s="51" t="str">
        <f t="shared" si="12"/>
        <v/>
      </c>
      <c r="AC17" s="58" t="str">
        <f t="shared" si="13"/>
        <v/>
      </c>
      <c r="AD17" s="80" t="str">
        <f>IF('2027'!$M$21="","",'2027'!$M$21)</f>
        <v/>
      </c>
      <c r="AE17" s="49" t="str">
        <f>IF('2027'!$N$21="","",'2027'!$N$21)</f>
        <v/>
      </c>
      <c r="AF17" s="80">
        <f>IF('2027'!$O$21="","",'2027'!$O$21)</f>
        <v>0</v>
      </c>
      <c r="AG17" s="86"/>
      <c r="AH17" s="86"/>
      <c r="AI17" s="80" t="str">
        <f>IF('2027'!$Q$21="","",'2027'!$Q$21)</f>
        <v/>
      </c>
      <c r="AJ17" s="80" t="str">
        <f t="shared" si="14"/>
        <v/>
      </c>
      <c r="AK17" s="80" t="str">
        <f t="shared" si="15"/>
        <v/>
      </c>
      <c r="AL17" s="80">
        <f>IF('2027'!$R$21="","",'2027'!$R$21)</f>
        <v>0</v>
      </c>
      <c r="AM17" s="89">
        <f t="shared" ref="AM17:AN17" si="54">IFERROR(AI17-AJ17,0)</f>
        <v>0</v>
      </c>
      <c r="AN17" s="89">
        <f t="shared" si="54"/>
        <v>0</v>
      </c>
      <c r="AO17" s="91">
        <f>IF('2027'!$S$21="","",'2027'!$S$21)</f>
        <v>0</v>
      </c>
      <c r="AP17" s="92">
        <f t="shared" si="17"/>
        <v>0</v>
      </c>
      <c r="AQ17" s="86" t="str">
        <f t="shared" si="18"/>
        <v/>
      </c>
      <c r="AR17" s="80" t="str">
        <f>IF('2027'!$T$21="","",'2027'!$T$21)</f>
        <v/>
      </c>
      <c r="AS17" s="80">
        <f>IF('2027'!$U$21="","",'2027'!$U$21)</f>
        <v>0</v>
      </c>
      <c r="AT17" s="86" t="str">
        <f t="shared" si="19"/>
        <v/>
      </c>
      <c r="AU17" s="86"/>
      <c r="AV17" s="96" t="str">
        <f t="shared" si="20"/>
        <v/>
      </c>
      <c r="AW17" s="97" t="str">
        <f t="shared" si="21"/>
        <v/>
      </c>
      <c r="AX17" s="97" t="str">
        <f t="shared" si="22"/>
        <v/>
      </c>
      <c r="AY17" s="60" t="str">
        <f t="shared" si="23"/>
        <v/>
      </c>
      <c r="AZ17" s="97" t="str">
        <f t="shared" si="24"/>
        <v/>
      </c>
      <c r="BA17" s="49" t="str">
        <f t="shared" si="25"/>
        <v/>
      </c>
      <c r="BB17" s="80" t="str">
        <f t="shared" si="26"/>
        <v/>
      </c>
      <c r="BC17" s="80" t="str">
        <f t="shared" si="27"/>
        <v/>
      </c>
      <c r="BD17" s="89">
        <f t="shared" si="28"/>
        <v>0</v>
      </c>
      <c r="BE17" s="60" t="str">
        <f t="shared" si="29"/>
        <v/>
      </c>
      <c r="BF17" s="102" t="str">
        <f t="shared" si="30"/>
        <v/>
      </c>
      <c r="BG17" s="103">
        <f t="shared" si="31"/>
        <v>-46258</v>
      </c>
      <c r="BH17" s="104" t="str">
        <f t="shared" si="32"/>
        <v/>
      </c>
      <c r="BI17" s="104" t="str">
        <f t="shared" si="33"/>
        <v/>
      </c>
      <c r="BJ17" s="104" t="str">
        <f t="shared" si="34"/>
        <v/>
      </c>
      <c r="BK17" s="104" t="str">
        <f t="shared" si="35"/>
        <v/>
      </c>
      <c r="BL17" s="104" t="str">
        <f t="shared" si="36"/>
        <v/>
      </c>
      <c r="BM17" s="57" t="str">
        <f>IF('2027'!$V$21="","",'2027'!$V$21)</f>
        <v/>
      </c>
      <c r="BN17" s="80" t="str">
        <f t="shared" si="37"/>
        <v/>
      </c>
      <c r="BO17" s="80" t="str">
        <f t="shared" si="38"/>
        <v/>
      </c>
      <c r="BP17" s="80" t="str">
        <f t="shared" si="39"/>
        <v/>
      </c>
      <c r="BQ17" s="80" t="str">
        <f t="shared" si="40"/>
        <v/>
      </c>
      <c r="BR17" s="80" t="str">
        <f t="shared" si="41"/>
        <v/>
      </c>
      <c r="BS17" s="116" t="str">
        <f t="shared" si="42"/>
        <v/>
      </c>
    </row>
    <row r="18" ht="32.25" customHeight="1">
      <c r="A18" s="49" t="str">
        <f>IF('2027'!$E$22="","",'2027'!$E$22)</f>
        <v/>
      </c>
      <c r="B18" s="50"/>
      <c r="C18" s="51" t="str">
        <f>IF('2027'!$B$22="","",'2027'!$B$22)</f>
        <v/>
      </c>
      <c r="D18" s="51" t="str">
        <f>IF('2027'!$C$22="","",'2027'!$C$22)</f>
        <v/>
      </c>
      <c r="E18" s="51" t="str">
        <f>IF('2027'!$D$22="","",'2027'!$D$22)</f>
        <v/>
      </c>
      <c r="F18" s="51" t="str">
        <f>IF('2027'!$E$22="","",'2027'!$E$22)</f>
        <v/>
      </c>
      <c r="G18" s="51" t="str">
        <f>IF('2027'!$F$22="","",'2027'!$F$22)</f>
        <v/>
      </c>
      <c r="H18" s="57" t="str">
        <f>IF('2027'!$H$22="","",'2027'!$H$22)</f>
        <v/>
      </c>
      <c r="I18" s="58"/>
      <c r="J18" s="51" t="str">
        <f>IF('2027'!$I$22="","",'2027'!$I$22)</f>
        <v/>
      </c>
      <c r="K18" s="51" t="str">
        <f t="shared" si="2"/>
        <v/>
      </c>
      <c r="L18" s="51" t="str">
        <f>IF('2027'!$J$22="","",'2027'!$J$22)</f>
        <v/>
      </c>
      <c r="M18" s="60" t="str">
        <f>IF('2027'!$K$22="","",'2027'!$K$22)</f>
        <v/>
      </c>
      <c r="N18" s="60" t="str">
        <f>IF('2027'!$L$22="","",'2027'!$L$22)</f>
        <v/>
      </c>
      <c r="O18" s="58" t="str">
        <f t="shared" si="3"/>
        <v/>
      </c>
      <c r="P18" s="58"/>
      <c r="Q18" s="51" t="str">
        <f t="shared" si="4"/>
        <v/>
      </c>
      <c r="R18" s="51" t="str">
        <f t="shared" si="5"/>
        <v/>
      </c>
      <c r="S18" s="58" t="str">
        <f t="shared" si="6"/>
        <v/>
      </c>
      <c r="T18" s="51" t="str">
        <f t="shared" si="7"/>
        <v/>
      </c>
      <c r="U18" s="50" t="str">
        <f t="shared" si="8"/>
        <v/>
      </c>
      <c r="V18" s="58" t="str">
        <f>IF('2027'!$G$22="","",'2027'!$G$22)</f>
        <v/>
      </c>
      <c r="W18" s="58"/>
      <c r="X18" s="51" t="str">
        <f t="shared" si="9"/>
        <v/>
      </c>
      <c r="Y18" s="51" t="str">
        <f t="shared" si="10"/>
        <v/>
      </c>
      <c r="Z18" s="80" t="str">
        <f t="shared" si="11"/>
        <v/>
      </c>
      <c r="AA18" s="60"/>
      <c r="AB18" s="51" t="str">
        <f t="shared" si="12"/>
        <v/>
      </c>
      <c r="AC18" s="58" t="str">
        <f t="shared" si="13"/>
        <v/>
      </c>
      <c r="AD18" s="80" t="str">
        <f>IF('2027'!$M$22="","",'2027'!$M$22)</f>
        <v/>
      </c>
      <c r="AE18" s="49" t="str">
        <f>IF('2027'!$N$22="","",'2027'!$N$22)</f>
        <v/>
      </c>
      <c r="AF18" s="80">
        <f>IF('2027'!$O$22="","",'2027'!$O$22)</f>
        <v>0</v>
      </c>
      <c r="AG18" s="86"/>
      <c r="AH18" s="86"/>
      <c r="AI18" s="80" t="str">
        <f>IF('2027'!$Q$22="","",'2027'!$Q$22)</f>
        <v/>
      </c>
      <c r="AJ18" s="80" t="str">
        <f t="shared" si="14"/>
        <v/>
      </c>
      <c r="AK18" s="80" t="str">
        <f t="shared" si="15"/>
        <v/>
      </c>
      <c r="AL18" s="80">
        <f>IF('2027'!$R$22="","",'2027'!$R$22)</f>
        <v>0</v>
      </c>
      <c r="AM18" s="89">
        <f t="shared" ref="AM18:AN18" si="55">IFERROR(AI18-AJ18,0)</f>
        <v>0</v>
      </c>
      <c r="AN18" s="89">
        <f t="shared" si="55"/>
        <v>0</v>
      </c>
      <c r="AO18" s="91">
        <f>IF('2027'!$S$22="","",'2027'!$S$22)</f>
        <v>0</v>
      </c>
      <c r="AP18" s="92">
        <f t="shared" si="17"/>
        <v>0</v>
      </c>
      <c r="AQ18" s="86" t="str">
        <f t="shared" si="18"/>
        <v/>
      </c>
      <c r="AR18" s="80" t="str">
        <f>IF('2027'!$T$22="","",'2027'!$T$22)</f>
        <v/>
      </c>
      <c r="AS18" s="80">
        <f>IF('2027'!$U$22="","",'2027'!$U$22)</f>
        <v>0</v>
      </c>
      <c r="AT18" s="86" t="str">
        <f t="shared" si="19"/>
        <v/>
      </c>
      <c r="AU18" s="86"/>
      <c r="AV18" s="96" t="str">
        <f t="shared" si="20"/>
        <v/>
      </c>
      <c r="AW18" s="97" t="str">
        <f t="shared" si="21"/>
        <v/>
      </c>
      <c r="AX18" s="97" t="str">
        <f t="shared" si="22"/>
        <v/>
      </c>
      <c r="AY18" s="60" t="str">
        <f t="shared" si="23"/>
        <v/>
      </c>
      <c r="AZ18" s="97" t="str">
        <f t="shared" si="24"/>
        <v/>
      </c>
      <c r="BA18" s="49" t="str">
        <f t="shared" si="25"/>
        <v/>
      </c>
      <c r="BB18" s="80" t="str">
        <f t="shared" si="26"/>
        <v/>
      </c>
      <c r="BC18" s="80" t="str">
        <f t="shared" si="27"/>
        <v/>
      </c>
      <c r="BD18" s="89">
        <f t="shared" si="28"/>
        <v>0</v>
      </c>
      <c r="BE18" s="60" t="str">
        <f t="shared" si="29"/>
        <v/>
      </c>
      <c r="BF18" s="102" t="str">
        <f t="shared" si="30"/>
        <v/>
      </c>
      <c r="BG18" s="103">
        <f t="shared" si="31"/>
        <v>-46258</v>
      </c>
      <c r="BH18" s="104" t="str">
        <f t="shared" si="32"/>
        <v/>
      </c>
      <c r="BI18" s="104" t="str">
        <f t="shared" si="33"/>
        <v/>
      </c>
      <c r="BJ18" s="104" t="str">
        <f t="shared" si="34"/>
        <v/>
      </c>
      <c r="BK18" s="104" t="str">
        <f t="shared" si="35"/>
        <v/>
      </c>
      <c r="BL18" s="104" t="str">
        <f t="shared" si="36"/>
        <v/>
      </c>
      <c r="BM18" s="57" t="str">
        <f>IF('2027'!$V$22="","",'2027'!$V$22)</f>
        <v/>
      </c>
      <c r="BN18" s="80" t="str">
        <f t="shared" si="37"/>
        <v/>
      </c>
      <c r="BO18" s="80" t="str">
        <f t="shared" si="38"/>
        <v/>
      </c>
      <c r="BP18" s="80" t="str">
        <f t="shared" si="39"/>
        <v/>
      </c>
      <c r="BQ18" s="80" t="str">
        <f t="shared" si="40"/>
        <v/>
      </c>
      <c r="BR18" s="80" t="str">
        <f t="shared" si="41"/>
        <v/>
      </c>
      <c r="BS18" s="116" t="str">
        <f t="shared" si="42"/>
        <v/>
      </c>
    </row>
    <row r="19" ht="21.75" customHeight="1">
      <c r="A19" s="49" t="str">
        <f>IF('2027'!$E$23="","",'2027'!$E$23)</f>
        <v/>
      </c>
      <c r="B19" s="50"/>
      <c r="C19" s="51" t="str">
        <f>IF('2027'!$B$23="","",'2027'!$B$23)</f>
        <v/>
      </c>
      <c r="D19" s="51" t="str">
        <f>IF('2027'!$C$23="","",'2027'!$C$23)</f>
        <v/>
      </c>
      <c r="E19" s="51" t="str">
        <f>IF('2027'!$D$23="","",'2027'!$D$23)</f>
        <v/>
      </c>
      <c r="F19" s="51" t="str">
        <f>IF('2027'!$E$23="","",'2027'!$E$23)</f>
        <v/>
      </c>
      <c r="G19" s="51" t="str">
        <f>IF('2027'!$F$23="","",'2027'!$F$23)</f>
        <v/>
      </c>
      <c r="H19" s="57" t="str">
        <f>IF('2027'!$H$23="","",'2027'!$H$23)</f>
        <v/>
      </c>
      <c r="I19" s="58"/>
      <c r="J19" s="51" t="str">
        <f>IF('2027'!$I$23="","",'2027'!$I$23)</f>
        <v/>
      </c>
      <c r="K19" s="51" t="str">
        <f t="shared" si="2"/>
        <v/>
      </c>
      <c r="L19" s="51" t="str">
        <f>IF('2027'!$J$23="","",'2027'!$J$23)</f>
        <v/>
      </c>
      <c r="M19" s="60" t="str">
        <f>IF('2027'!$K$23="","",'2027'!$K$23)</f>
        <v/>
      </c>
      <c r="N19" s="60" t="str">
        <f>IF('2027'!$L$23="","",'2027'!$L$23)</f>
        <v/>
      </c>
      <c r="O19" s="58" t="str">
        <f t="shared" si="3"/>
        <v/>
      </c>
      <c r="P19" s="58"/>
      <c r="Q19" s="51" t="str">
        <f t="shared" si="4"/>
        <v/>
      </c>
      <c r="R19" s="51" t="str">
        <f t="shared" si="5"/>
        <v/>
      </c>
      <c r="S19" s="58" t="str">
        <f t="shared" si="6"/>
        <v/>
      </c>
      <c r="T19" s="51" t="str">
        <f t="shared" si="7"/>
        <v/>
      </c>
      <c r="U19" s="50" t="str">
        <f t="shared" si="8"/>
        <v/>
      </c>
      <c r="V19" s="58" t="str">
        <f>IF('2027'!$G$23="","",'2027'!$G$23)</f>
        <v/>
      </c>
      <c r="W19" s="58"/>
      <c r="X19" s="51" t="str">
        <f t="shared" si="9"/>
        <v/>
      </c>
      <c r="Y19" s="51" t="str">
        <f t="shared" si="10"/>
        <v/>
      </c>
      <c r="Z19" s="80" t="str">
        <f t="shared" si="11"/>
        <v/>
      </c>
      <c r="AA19" s="60"/>
      <c r="AB19" s="51" t="str">
        <f t="shared" si="12"/>
        <v/>
      </c>
      <c r="AC19" s="58" t="str">
        <f t="shared" si="13"/>
        <v/>
      </c>
      <c r="AD19" s="80" t="str">
        <f>IF('2027'!$M$23="","",'2027'!$M$23)</f>
        <v/>
      </c>
      <c r="AE19" s="49" t="str">
        <f>IF('2027'!$N$23="","",'2027'!$N$23)</f>
        <v/>
      </c>
      <c r="AF19" s="80">
        <f>IF('2027'!$O$23="","",'2027'!$O$23)</f>
        <v>0</v>
      </c>
      <c r="AG19" s="86"/>
      <c r="AH19" s="86"/>
      <c r="AI19" s="80" t="str">
        <f>IF('2027'!$Q$23="","",'2027'!$Q$23)</f>
        <v/>
      </c>
      <c r="AJ19" s="80" t="str">
        <f t="shared" si="14"/>
        <v/>
      </c>
      <c r="AK19" s="80" t="str">
        <f t="shared" si="15"/>
        <v/>
      </c>
      <c r="AL19" s="80">
        <f>IF('2027'!$R$23="","",'2027'!$R$23)</f>
        <v>0</v>
      </c>
      <c r="AM19" s="89">
        <f t="shared" ref="AM19:AN19" si="56">IFERROR(AI19-AJ19,0)</f>
        <v>0</v>
      </c>
      <c r="AN19" s="89">
        <f t="shared" si="56"/>
        <v>0</v>
      </c>
      <c r="AO19" s="91">
        <f>IF('2027'!$S$23="","",'2027'!$S$23)</f>
        <v>0</v>
      </c>
      <c r="AP19" s="92">
        <f t="shared" si="17"/>
        <v>0</v>
      </c>
      <c r="AQ19" s="86" t="str">
        <f t="shared" si="18"/>
        <v/>
      </c>
      <c r="AR19" s="80" t="str">
        <f>IF('2027'!$T$23="","",'2027'!$T$23)</f>
        <v/>
      </c>
      <c r="AS19" s="80">
        <f>IF('2027'!$U$23="","",'2027'!$U$23)</f>
        <v>0</v>
      </c>
      <c r="AT19" s="86" t="str">
        <f t="shared" si="19"/>
        <v/>
      </c>
      <c r="AU19" s="86"/>
      <c r="AV19" s="96" t="str">
        <f t="shared" si="20"/>
        <v/>
      </c>
      <c r="AW19" s="97" t="str">
        <f t="shared" si="21"/>
        <v/>
      </c>
      <c r="AX19" s="97" t="str">
        <f t="shared" si="22"/>
        <v/>
      </c>
      <c r="AY19" s="60" t="str">
        <f t="shared" si="23"/>
        <v/>
      </c>
      <c r="AZ19" s="97" t="str">
        <f t="shared" si="24"/>
        <v/>
      </c>
      <c r="BA19" s="49" t="str">
        <f t="shared" si="25"/>
        <v/>
      </c>
      <c r="BB19" s="80" t="str">
        <f t="shared" si="26"/>
        <v/>
      </c>
      <c r="BC19" s="80" t="str">
        <f t="shared" si="27"/>
        <v/>
      </c>
      <c r="BD19" s="89">
        <f t="shared" si="28"/>
        <v>0</v>
      </c>
      <c r="BE19" s="60" t="str">
        <f t="shared" si="29"/>
        <v/>
      </c>
      <c r="BF19" s="102" t="str">
        <f t="shared" si="30"/>
        <v/>
      </c>
      <c r="BG19" s="103">
        <f t="shared" si="31"/>
        <v>-46258</v>
      </c>
      <c r="BH19" s="104" t="str">
        <f t="shared" si="32"/>
        <v/>
      </c>
      <c r="BI19" s="104" t="str">
        <f t="shared" si="33"/>
        <v/>
      </c>
      <c r="BJ19" s="104" t="str">
        <f t="shared" si="34"/>
        <v/>
      </c>
      <c r="BK19" s="104" t="str">
        <f t="shared" si="35"/>
        <v/>
      </c>
      <c r="BL19" s="104" t="str">
        <f t="shared" si="36"/>
        <v/>
      </c>
      <c r="BM19" s="57" t="str">
        <f>IF('2027'!$V$23="","",'2027'!$V$23)</f>
        <v/>
      </c>
      <c r="BN19" s="80" t="str">
        <f t="shared" si="37"/>
        <v/>
      </c>
      <c r="BO19" s="80" t="str">
        <f t="shared" si="38"/>
        <v/>
      </c>
      <c r="BP19" s="80" t="str">
        <f t="shared" si="39"/>
        <v/>
      </c>
      <c r="BQ19" s="80" t="str">
        <f t="shared" si="40"/>
        <v/>
      </c>
      <c r="BR19" s="80" t="str">
        <f t="shared" si="41"/>
        <v/>
      </c>
      <c r="BS19" s="116" t="str">
        <f t="shared" si="42"/>
        <v/>
      </c>
    </row>
    <row r="20" ht="15.0" customHeight="1">
      <c r="A20" s="49" t="str">
        <f>IF('2027'!$E$24="","",'2027'!$E$24)</f>
        <v/>
      </c>
      <c r="B20" s="50"/>
      <c r="C20" s="51" t="str">
        <f>IF('2027'!$B$24="","",'2027'!$B$24)</f>
        <v/>
      </c>
      <c r="D20" s="51" t="str">
        <f>IF('2027'!$C$24="","",'2027'!$C$24)</f>
        <v/>
      </c>
      <c r="E20" s="51" t="str">
        <f>IF('2027'!$D$24="","",'2027'!$D$24)</f>
        <v/>
      </c>
      <c r="F20" s="51" t="str">
        <f>IF('2027'!$E$24="","",'2027'!$E$24)</f>
        <v/>
      </c>
      <c r="G20" s="51" t="str">
        <f>IF('2027'!$F$24="","",'2027'!$F$24)</f>
        <v/>
      </c>
      <c r="H20" s="57" t="str">
        <f>IF('2027'!$H$24="","",'2027'!$H$24)</f>
        <v/>
      </c>
      <c r="I20" s="58"/>
      <c r="J20" s="51" t="str">
        <f>IF('2027'!$I$24="","",'2027'!$I$24)</f>
        <v/>
      </c>
      <c r="K20" s="51" t="str">
        <f t="shared" si="2"/>
        <v/>
      </c>
      <c r="L20" s="51" t="str">
        <f>IF('2027'!$J$24="","",'2027'!$J$24)</f>
        <v/>
      </c>
      <c r="M20" s="60" t="str">
        <f>IF('2027'!$K$24="","",'2027'!$K$24)</f>
        <v/>
      </c>
      <c r="N20" s="60" t="str">
        <f>IF('2027'!$L$24="","",'2027'!$L$24)</f>
        <v/>
      </c>
      <c r="O20" s="58" t="str">
        <f t="shared" si="3"/>
        <v/>
      </c>
      <c r="P20" s="58"/>
      <c r="Q20" s="51" t="str">
        <f t="shared" si="4"/>
        <v/>
      </c>
      <c r="R20" s="51" t="str">
        <f t="shared" si="5"/>
        <v/>
      </c>
      <c r="S20" s="58" t="str">
        <f t="shared" si="6"/>
        <v/>
      </c>
      <c r="T20" s="51" t="str">
        <f t="shared" si="7"/>
        <v/>
      </c>
      <c r="U20" s="50" t="str">
        <f t="shared" si="8"/>
        <v/>
      </c>
      <c r="V20" s="58" t="str">
        <f>IF('2027'!$G$24="","",'2027'!$G$24)</f>
        <v/>
      </c>
      <c r="W20" s="58"/>
      <c r="X20" s="51" t="str">
        <f t="shared" si="9"/>
        <v/>
      </c>
      <c r="Y20" s="51" t="str">
        <f t="shared" si="10"/>
        <v/>
      </c>
      <c r="Z20" s="80" t="str">
        <f t="shared" si="11"/>
        <v/>
      </c>
      <c r="AA20" s="60"/>
      <c r="AB20" s="51" t="str">
        <f t="shared" si="12"/>
        <v/>
      </c>
      <c r="AC20" s="58" t="str">
        <f t="shared" si="13"/>
        <v/>
      </c>
      <c r="AD20" s="80" t="str">
        <f>IF('2027'!$M$24="","",'2027'!$M$24)</f>
        <v/>
      </c>
      <c r="AE20" s="49" t="str">
        <f>IF('2027'!$N$24="","",'2027'!$N$24)</f>
        <v/>
      </c>
      <c r="AF20" s="80">
        <f>IF('2027'!$O$24="","",'2027'!$O$24)</f>
        <v>0</v>
      </c>
      <c r="AG20" s="86"/>
      <c r="AH20" s="86"/>
      <c r="AI20" s="80" t="str">
        <f>IF('2027'!$Q$24="","",'2027'!$Q$24)</f>
        <v/>
      </c>
      <c r="AJ20" s="80" t="str">
        <f t="shared" si="14"/>
        <v/>
      </c>
      <c r="AK20" s="80" t="str">
        <f t="shared" si="15"/>
        <v/>
      </c>
      <c r="AL20" s="80">
        <f>IF('2027'!$R$24="","",'2027'!$R$24)</f>
        <v>0</v>
      </c>
      <c r="AM20" s="89">
        <f t="shared" ref="AM20:AN20" si="57">IFERROR(AI20-AJ20,0)</f>
        <v>0</v>
      </c>
      <c r="AN20" s="89">
        <f t="shared" si="57"/>
        <v>0</v>
      </c>
      <c r="AO20" s="91">
        <f>IF('2027'!$S$24="","",'2027'!$S$24)</f>
        <v>0</v>
      </c>
      <c r="AP20" s="92">
        <f t="shared" si="17"/>
        <v>0</v>
      </c>
      <c r="AQ20" s="86" t="str">
        <f t="shared" si="18"/>
        <v/>
      </c>
      <c r="AR20" s="80" t="str">
        <f>IF('2027'!$T$24="","",'2027'!$T$24)</f>
        <v/>
      </c>
      <c r="AS20" s="80">
        <f>IF('2027'!$U$24="","",'2027'!$U$24)</f>
        <v>0</v>
      </c>
      <c r="AT20" s="86" t="str">
        <f t="shared" si="19"/>
        <v/>
      </c>
      <c r="AU20" s="86"/>
      <c r="AV20" s="96" t="str">
        <f t="shared" si="20"/>
        <v/>
      </c>
      <c r="AW20" s="97" t="str">
        <f t="shared" si="21"/>
        <v/>
      </c>
      <c r="AX20" s="97" t="str">
        <f t="shared" si="22"/>
        <v/>
      </c>
      <c r="AY20" s="60" t="str">
        <f t="shared" si="23"/>
        <v/>
      </c>
      <c r="AZ20" s="97" t="str">
        <f t="shared" si="24"/>
        <v/>
      </c>
      <c r="BA20" s="49" t="str">
        <f t="shared" si="25"/>
        <v/>
      </c>
      <c r="BB20" s="80" t="str">
        <f t="shared" si="26"/>
        <v/>
      </c>
      <c r="BC20" s="80" t="str">
        <f t="shared" si="27"/>
        <v/>
      </c>
      <c r="BD20" s="89">
        <f t="shared" si="28"/>
        <v>0</v>
      </c>
      <c r="BE20" s="60" t="str">
        <f t="shared" si="29"/>
        <v/>
      </c>
      <c r="BF20" s="102" t="str">
        <f t="shared" si="30"/>
        <v/>
      </c>
      <c r="BG20" s="103">
        <f t="shared" si="31"/>
        <v>-46258</v>
      </c>
      <c r="BH20" s="104" t="str">
        <f t="shared" si="32"/>
        <v/>
      </c>
      <c r="BI20" s="104" t="str">
        <f t="shared" si="33"/>
        <v/>
      </c>
      <c r="BJ20" s="104" t="str">
        <f t="shared" si="34"/>
        <v/>
      </c>
      <c r="BK20" s="104" t="str">
        <f t="shared" si="35"/>
        <v/>
      </c>
      <c r="BL20" s="104" t="str">
        <f t="shared" si="36"/>
        <v/>
      </c>
      <c r="BM20" s="57" t="str">
        <f>IF('2027'!$V$24="","",'2027'!$V$24)</f>
        <v/>
      </c>
      <c r="BN20" s="80" t="str">
        <f t="shared" si="37"/>
        <v/>
      </c>
      <c r="BO20" s="80" t="str">
        <f t="shared" si="38"/>
        <v/>
      </c>
      <c r="BP20" s="80" t="str">
        <f t="shared" si="39"/>
        <v/>
      </c>
      <c r="BQ20" s="80" t="str">
        <f t="shared" si="40"/>
        <v/>
      </c>
      <c r="BR20" s="80" t="str">
        <f t="shared" si="41"/>
        <v/>
      </c>
      <c r="BS20" s="116" t="str">
        <f t="shared" si="42"/>
        <v/>
      </c>
    </row>
    <row r="21" ht="15.0" customHeight="1">
      <c r="A21" s="49" t="str">
        <f>IF('2027'!$E$25="","",'2027'!$E$25)</f>
        <v/>
      </c>
      <c r="B21" s="50"/>
      <c r="C21" s="51" t="str">
        <f>IF('2027'!$B$25="","",'2027'!$B$25)</f>
        <v/>
      </c>
      <c r="D21" s="51" t="str">
        <f>IF('2027'!$C$25="","",'2027'!$C$25)</f>
        <v/>
      </c>
      <c r="E21" s="51" t="str">
        <f>IF('2027'!$D$25="","",'2027'!$D$25)</f>
        <v/>
      </c>
      <c r="F21" s="51" t="str">
        <f>IF('2027'!$E$25="","",'2027'!$E$25)</f>
        <v/>
      </c>
      <c r="G21" s="51" t="str">
        <f>IF('2027'!$F$25="","",'2027'!$F$25)</f>
        <v/>
      </c>
      <c r="H21" s="57" t="str">
        <f>IF('2027'!$H$25="","",'2027'!$H$25)</f>
        <v/>
      </c>
      <c r="I21" s="58"/>
      <c r="J21" s="51" t="str">
        <f>IF('2027'!$I$25="","",'2027'!$I$25)</f>
        <v/>
      </c>
      <c r="K21" s="51" t="str">
        <f t="shared" si="2"/>
        <v/>
      </c>
      <c r="L21" s="51" t="str">
        <f>IF('2027'!$J$25="","",'2027'!$J$25)</f>
        <v/>
      </c>
      <c r="M21" s="60" t="str">
        <f>IF('2027'!$K$25="","",'2027'!$K$25)</f>
        <v/>
      </c>
      <c r="N21" s="60" t="str">
        <f>IF('2027'!$L$25="","",'2027'!$L$25)</f>
        <v/>
      </c>
      <c r="O21" s="58" t="str">
        <f t="shared" si="3"/>
        <v/>
      </c>
      <c r="P21" s="58"/>
      <c r="Q21" s="51" t="str">
        <f t="shared" si="4"/>
        <v/>
      </c>
      <c r="R21" s="51" t="str">
        <f t="shared" si="5"/>
        <v/>
      </c>
      <c r="S21" s="58" t="str">
        <f t="shared" si="6"/>
        <v/>
      </c>
      <c r="T21" s="51" t="str">
        <f t="shared" si="7"/>
        <v/>
      </c>
      <c r="U21" s="50" t="str">
        <f t="shared" si="8"/>
        <v/>
      </c>
      <c r="V21" s="58" t="str">
        <f>IF('2027'!$G$25="","",'2027'!$G$25)</f>
        <v/>
      </c>
      <c r="W21" s="58"/>
      <c r="X21" s="51" t="str">
        <f t="shared" si="9"/>
        <v/>
      </c>
      <c r="Y21" s="51" t="str">
        <f t="shared" si="10"/>
        <v/>
      </c>
      <c r="Z21" s="80" t="str">
        <f t="shared" si="11"/>
        <v/>
      </c>
      <c r="AA21" s="60"/>
      <c r="AB21" s="51" t="str">
        <f t="shared" si="12"/>
        <v/>
      </c>
      <c r="AC21" s="58" t="str">
        <f t="shared" si="13"/>
        <v/>
      </c>
      <c r="AD21" s="80" t="str">
        <f>IF('2027'!$M$25="","",'2027'!$M$25)</f>
        <v/>
      </c>
      <c r="AE21" s="49" t="str">
        <f>IF('2027'!$N$25="","",'2027'!$N$25)</f>
        <v/>
      </c>
      <c r="AF21" s="80">
        <f>IF('2027'!$O$25="","",'2027'!$O$25)</f>
        <v>0</v>
      </c>
      <c r="AG21" s="86"/>
      <c r="AH21" s="86"/>
      <c r="AI21" s="80" t="str">
        <f>IF('2027'!$Q$25="","",'2027'!$Q$25)</f>
        <v/>
      </c>
      <c r="AJ21" s="80" t="str">
        <f t="shared" si="14"/>
        <v/>
      </c>
      <c r="AK21" s="80" t="str">
        <f t="shared" si="15"/>
        <v/>
      </c>
      <c r="AL21" s="80">
        <f>IF('2027'!$R$25="","",'2027'!$R$25)</f>
        <v>0</v>
      </c>
      <c r="AM21" s="89">
        <f t="shared" ref="AM21:AN21" si="58">IFERROR(AI21-AJ21,0)</f>
        <v>0</v>
      </c>
      <c r="AN21" s="89">
        <f t="shared" si="58"/>
        <v>0</v>
      </c>
      <c r="AO21" s="91">
        <f>IF('2027'!$S$25="","",'2027'!$S$25)</f>
        <v>0</v>
      </c>
      <c r="AP21" s="92">
        <f t="shared" si="17"/>
        <v>0</v>
      </c>
      <c r="AQ21" s="86" t="str">
        <f t="shared" si="18"/>
        <v/>
      </c>
      <c r="AR21" s="80" t="str">
        <f>IF('2027'!$T$25="","",'2027'!$T$25)</f>
        <v/>
      </c>
      <c r="AS21" s="80">
        <f>IF('2027'!$U$25="","",'2027'!$U$25)</f>
        <v>0</v>
      </c>
      <c r="AT21" s="86" t="str">
        <f t="shared" si="19"/>
        <v/>
      </c>
      <c r="AU21" s="86"/>
      <c r="AV21" s="96" t="str">
        <f t="shared" si="20"/>
        <v/>
      </c>
      <c r="AW21" s="97" t="str">
        <f t="shared" si="21"/>
        <v/>
      </c>
      <c r="AX21" s="97" t="str">
        <f t="shared" si="22"/>
        <v/>
      </c>
      <c r="AY21" s="60" t="str">
        <f t="shared" si="23"/>
        <v/>
      </c>
      <c r="AZ21" s="97" t="str">
        <f t="shared" si="24"/>
        <v/>
      </c>
      <c r="BA21" s="49" t="str">
        <f t="shared" si="25"/>
        <v/>
      </c>
      <c r="BB21" s="80" t="str">
        <f t="shared" si="26"/>
        <v/>
      </c>
      <c r="BC21" s="80" t="str">
        <f t="shared" si="27"/>
        <v/>
      </c>
      <c r="BD21" s="89">
        <f t="shared" si="28"/>
        <v>0</v>
      </c>
      <c r="BE21" s="60" t="str">
        <f t="shared" si="29"/>
        <v/>
      </c>
      <c r="BF21" s="102" t="str">
        <f t="shared" si="30"/>
        <v/>
      </c>
      <c r="BG21" s="103">
        <f t="shared" si="31"/>
        <v>-46258</v>
      </c>
      <c r="BH21" s="104" t="str">
        <f t="shared" si="32"/>
        <v/>
      </c>
      <c r="BI21" s="104" t="str">
        <f t="shared" si="33"/>
        <v/>
      </c>
      <c r="BJ21" s="104" t="str">
        <f t="shared" si="34"/>
        <v/>
      </c>
      <c r="BK21" s="104" t="str">
        <f t="shared" si="35"/>
        <v/>
      </c>
      <c r="BL21" s="104" t="str">
        <f t="shared" si="36"/>
        <v/>
      </c>
      <c r="BM21" s="57" t="str">
        <f>IF('2027'!$V$25="","",'2027'!$V$25)</f>
        <v/>
      </c>
      <c r="BN21" s="80" t="str">
        <f t="shared" si="37"/>
        <v/>
      </c>
      <c r="BO21" s="80" t="str">
        <f t="shared" si="38"/>
        <v/>
      </c>
      <c r="BP21" s="80" t="str">
        <f t="shared" si="39"/>
        <v/>
      </c>
      <c r="BQ21" s="80" t="str">
        <f t="shared" si="40"/>
        <v/>
      </c>
      <c r="BR21" s="80" t="str">
        <f t="shared" si="41"/>
        <v/>
      </c>
      <c r="BS21" s="116" t="str">
        <f t="shared" si="42"/>
        <v/>
      </c>
    </row>
    <row r="22" ht="15.0" customHeight="1">
      <c r="A22" s="49" t="str">
        <f>IF('2027'!$E$26="","",'2027'!$E$26)</f>
        <v/>
      </c>
      <c r="B22" s="50"/>
      <c r="C22" s="51" t="str">
        <f>IF('2027'!$B$26="","",'2027'!$B$26)</f>
        <v/>
      </c>
      <c r="D22" s="51" t="str">
        <f>IF('2027'!$C$26="","",'2027'!$C$26)</f>
        <v/>
      </c>
      <c r="E22" s="51" t="str">
        <f>IF('2027'!$D$26="","",'2027'!$D$26)</f>
        <v/>
      </c>
      <c r="F22" s="51" t="str">
        <f>IF('2027'!$E$26="","",'2027'!$E$26)</f>
        <v/>
      </c>
      <c r="G22" s="51" t="str">
        <f>IF('2027'!$F$26="","",'2027'!$F$26)</f>
        <v/>
      </c>
      <c r="H22" s="57" t="str">
        <f>IF('2027'!$H$26="","",'2027'!$H$26)</f>
        <v/>
      </c>
      <c r="I22" s="58"/>
      <c r="J22" s="51" t="str">
        <f>IF('2027'!$I$26="","",'2027'!$I$26)</f>
        <v/>
      </c>
      <c r="K22" s="51" t="str">
        <f t="shared" si="2"/>
        <v/>
      </c>
      <c r="L22" s="51" t="str">
        <f>IF('2027'!$J$26="","",'2027'!$J$26)</f>
        <v/>
      </c>
      <c r="M22" s="60" t="str">
        <f>IF('2027'!$K$26="","",'2027'!$K$26)</f>
        <v/>
      </c>
      <c r="N22" s="60" t="str">
        <f>IF('2027'!$L$26="","",'2027'!$L$26)</f>
        <v/>
      </c>
      <c r="O22" s="58" t="str">
        <f t="shared" si="3"/>
        <v/>
      </c>
      <c r="P22" s="58"/>
      <c r="Q22" s="51" t="str">
        <f t="shared" si="4"/>
        <v/>
      </c>
      <c r="R22" s="51" t="str">
        <f t="shared" si="5"/>
        <v/>
      </c>
      <c r="S22" s="58" t="str">
        <f t="shared" si="6"/>
        <v/>
      </c>
      <c r="T22" s="51" t="str">
        <f t="shared" si="7"/>
        <v/>
      </c>
      <c r="U22" s="50" t="str">
        <f t="shared" si="8"/>
        <v/>
      </c>
      <c r="V22" s="58" t="str">
        <f>IF('2027'!$G$26="","",'2027'!$G$26)</f>
        <v/>
      </c>
      <c r="W22" s="58"/>
      <c r="X22" s="51" t="str">
        <f t="shared" si="9"/>
        <v/>
      </c>
      <c r="Y22" s="51" t="str">
        <f t="shared" si="10"/>
        <v/>
      </c>
      <c r="Z22" s="80" t="str">
        <f t="shared" si="11"/>
        <v/>
      </c>
      <c r="AA22" s="60"/>
      <c r="AB22" s="51" t="str">
        <f t="shared" si="12"/>
        <v/>
      </c>
      <c r="AC22" s="58" t="str">
        <f t="shared" si="13"/>
        <v/>
      </c>
      <c r="AD22" s="80" t="str">
        <f>IF('2027'!$M$26="","",'2027'!$M$26)</f>
        <v/>
      </c>
      <c r="AE22" s="49" t="str">
        <f>IF('2027'!$N$26="","",'2027'!$N$26)</f>
        <v/>
      </c>
      <c r="AF22" s="80">
        <f>IF('2027'!$O$26="","",'2027'!$O$26)</f>
        <v>0</v>
      </c>
      <c r="AG22" s="86"/>
      <c r="AH22" s="86"/>
      <c r="AI22" s="80" t="str">
        <f>IF('2027'!$Q$26="","",'2027'!$Q$26)</f>
        <v/>
      </c>
      <c r="AJ22" s="80" t="str">
        <f t="shared" si="14"/>
        <v/>
      </c>
      <c r="AK22" s="80" t="str">
        <f t="shared" si="15"/>
        <v/>
      </c>
      <c r="AL22" s="80">
        <f>IF('2027'!$R$26="","",'2027'!$R$26)</f>
        <v>0</v>
      </c>
      <c r="AM22" s="89">
        <f t="shared" ref="AM22:AN22" si="59">IFERROR(AI22-AJ22,0)</f>
        <v>0</v>
      </c>
      <c r="AN22" s="89">
        <f t="shared" si="59"/>
        <v>0</v>
      </c>
      <c r="AO22" s="91">
        <f>IF('2027'!$S$26="","",'2027'!$S$26)</f>
        <v>0</v>
      </c>
      <c r="AP22" s="92">
        <f t="shared" si="17"/>
        <v>0</v>
      </c>
      <c r="AQ22" s="86" t="str">
        <f t="shared" si="18"/>
        <v/>
      </c>
      <c r="AR22" s="80" t="str">
        <f>IF('2027'!$T$26="","",'2027'!$T$26)</f>
        <v/>
      </c>
      <c r="AS22" s="80">
        <f>IF('2027'!$U$26="","",'2027'!$U$26)</f>
        <v>0</v>
      </c>
      <c r="AT22" s="86" t="str">
        <f t="shared" si="19"/>
        <v/>
      </c>
      <c r="AU22" s="86"/>
      <c r="AV22" s="96" t="str">
        <f t="shared" si="20"/>
        <v/>
      </c>
      <c r="AW22" s="97" t="str">
        <f t="shared" si="21"/>
        <v/>
      </c>
      <c r="AX22" s="97" t="str">
        <f t="shared" si="22"/>
        <v/>
      </c>
      <c r="AY22" s="60" t="str">
        <f t="shared" si="23"/>
        <v/>
      </c>
      <c r="AZ22" s="97" t="str">
        <f t="shared" si="24"/>
        <v/>
      </c>
      <c r="BA22" s="49" t="str">
        <f t="shared" si="25"/>
        <v/>
      </c>
      <c r="BB22" s="80" t="str">
        <f t="shared" si="26"/>
        <v/>
      </c>
      <c r="BC22" s="80" t="str">
        <f t="shared" si="27"/>
        <v/>
      </c>
      <c r="BD22" s="89">
        <f t="shared" si="28"/>
        <v>0</v>
      </c>
      <c r="BE22" s="60" t="str">
        <f t="shared" si="29"/>
        <v/>
      </c>
      <c r="BF22" s="102" t="str">
        <f t="shared" si="30"/>
        <v/>
      </c>
      <c r="BG22" s="103">
        <f t="shared" si="31"/>
        <v>-46258</v>
      </c>
      <c r="BH22" s="104" t="str">
        <f t="shared" si="32"/>
        <v/>
      </c>
      <c r="BI22" s="104" t="str">
        <f t="shared" si="33"/>
        <v/>
      </c>
      <c r="BJ22" s="104" t="str">
        <f t="shared" si="34"/>
        <v/>
      </c>
      <c r="BK22" s="104" t="str">
        <f t="shared" si="35"/>
        <v/>
      </c>
      <c r="BL22" s="104" t="str">
        <f t="shared" si="36"/>
        <v/>
      </c>
      <c r="BM22" s="57" t="str">
        <f>IF('2027'!$V$26="","",'2027'!$V$26)</f>
        <v/>
      </c>
      <c r="BN22" s="80" t="str">
        <f t="shared" si="37"/>
        <v/>
      </c>
      <c r="BO22" s="80" t="str">
        <f t="shared" si="38"/>
        <v/>
      </c>
      <c r="BP22" s="80" t="str">
        <f t="shared" si="39"/>
        <v/>
      </c>
      <c r="BQ22" s="80" t="str">
        <f t="shared" si="40"/>
        <v/>
      </c>
      <c r="BR22" s="80" t="str">
        <f t="shared" si="41"/>
        <v/>
      </c>
      <c r="BS22" s="116" t="str">
        <f t="shared" si="42"/>
        <v/>
      </c>
    </row>
    <row r="23" ht="15.0" customHeight="1">
      <c r="A23" s="49" t="str">
        <f>IF('2027'!$E$27="","",'2027'!$E$27)</f>
        <v/>
      </c>
      <c r="B23" s="50"/>
      <c r="C23" s="51" t="str">
        <f>IF('2027'!$B$27="","",'2027'!$B$27)</f>
        <v/>
      </c>
      <c r="D23" s="51" t="str">
        <f>IF('2027'!$C$27="","",'2027'!$C$27)</f>
        <v/>
      </c>
      <c r="E23" s="51" t="str">
        <f>IF('2027'!$D$27="","",'2027'!$D$27)</f>
        <v/>
      </c>
      <c r="F23" s="51" t="str">
        <f>IF('2027'!$E$27="","",'2027'!$E$27)</f>
        <v/>
      </c>
      <c r="G23" s="51" t="str">
        <f>IF('2027'!$F$27="","",'2027'!$F$27)</f>
        <v/>
      </c>
      <c r="H23" s="57" t="str">
        <f>IF('2027'!$H$27="","",'2027'!$H$27)</f>
        <v/>
      </c>
      <c r="I23" s="58"/>
      <c r="J23" s="51" t="str">
        <f>IF('2027'!$I$27="","",'2027'!$I$27)</f>
        <v/>
      </c>
      <c r="K23" s="51" t="str">
        <f t="shared" si="2"/>
        <v/>
      </c>
      <c r="L23" s="51" t="str">
        <f>IF('2027'!$J$27="","",'2027'!$J$27)</f>
        <v/>
      </c>
      <c r="M23" s="60" t="str">
        <f>IF('2027'!$K$27="","",'2027'!$K$27)</f>
        <v/>
      </c>
      <c r="N23" s="60" t="str">
        <f>IF('2027'!$L$27="","",'2027'!$L$27)</f>
        <v/>
      </c>
      <c r="O23" s="58" t="str">
        <f t="shared" si="3"/>
        <v/>
      </c>
      <c r="P23" s="58"/>
      <c r="Q23" s="51" t="str">
        <f t="shared" si="4"/>
        <v/>
      </c>
      <c r="R23" s="51" t="str">
        <f t="shared" si="5"/>
        <v/>
      </c>
      <c r="S23" s="58" t="str">
        <f t="shared" si="6"/>
        <v/>
      </c>
      <c r="T23" s="51" t="str">
        <f t="shared" si="7"/>
        <v/>
      </c>
      <c r="U23" s="50" t="str">
        <f t="shared" si="8"/>
        <v/>
      </c>
      <c r="V23" s="58" t="str">
        <f>IF('2027'!$G$27="","",'2027'!$G$27)</f>
        <v/>
      </c>
      <c r="W23" s="58"/>
      <c r="X23" s="51" t="str">
        <f t="shared" si="9"/>
        <v/>
      </c>
      <c r="Y23" s="51" t="str">
        <f t="shared" si="10"/>
        <v/>
      </c>
      <c r="Z23" s="80" t="str">
        <f t="shared" si="11"/>
        <v/>
      </c>
      <c r="AA23" s="60"/>
      <c r="AB23" s="51" t="str">
        <f t="shared" si="12"/>
        <v/>
      </c>
      <c r="AC23" s="58" t="str">
        <f t="shared" si="13"/>
        <v/>
      </c>
      <c r="AD23" s="80" t="str">
        <f>IF('2027'!$M$27="","",'2027'!$M$27)</f>
        <v/>
      </c>
      <c r="AE23" s="49" t="str">
        <f>IF('2027'!$N$27="","",'2027'!$N$27)</f>
        <v/>
      </c>
      <c r="AF23" s="80">
        <f>IF('2027'!$O$27="","",'2027'!$O$27)</f>
        <v>0</v>
      </c>
      <c r="AG23" s="86"/>
      <c r="AH23" s="86"/>
      <c r="AI23" s="80" t="str">
        <f>IF('2027'!$Q$27="","",'2027'!$Q$27)</f>
        <v/>
      </c>
      <c r="AJ23" s="80" t="str">
        <f t="shared" si="14"/>
        <v/>
      </c>
      <c r="AK23" s="80" t="str">
        <f t="shared" si="15"/>
        <v/>
      </c>
      <c r="AL23" s="80">
        <f>IF('2027'!$R$27="","",'2027'!$R$27)</f>
        <v>0</v>
      </c>
      <c r="AM23" s="89">
        <f t="shared" ref="AM23:AN23" si="60">IFERROR(AI23-AJ23,0)</f>
        <v>0</v>
      </c>
      <c r="AN23" s="89">
        <f t="shared" si="60"/>
        <v>0</v>
      </c>
      <c r="AO23" s="91">
        <f>IF('2027'!$S$27="","",'2027'!$S$27)</f>
        <v>0</v>
      </c>
      <c r="AP23" s="92">
        <f t="shared" si="17"/>
        <v>0</v>
      </c>
      <c r="AQ23" s="86" t="str">
        <f t="shared" si="18"/>
        <v/>
      </c>
      <c r="AR23" s="80" t="str">
        <f>IF('2027'!$T$27="","",'2027'!$T$27)</f>
        <v/>
      </c>
      <c r="AS23" s="80">
        <f>IF('2027'!$U$27="","",'2027'!$U$27)</f>
        <v>0</v>
      </c>
      <c r="AT23" s="86" t="str">
        <f t="shared" si="19"/>
        <v/>
      </c>
      <c r="AU23" s="86"/>
      <c r="AV23" s="96" t="str">
        <f t="shared" si="20"/>
        <v/>
      </c>
      <c r="AW23" s="97" t="str">
        <f t="shared" si="21"/>
        <v/>
      </c>
      <c r="AX23" s="97" t="str">
        <f t="shared" si="22"/>
        <v/>
      </c>
      <c r="AY23" s="60" t="str">
        <f t="shared" si="23"/>
        <v/>
      </c>
      <c r="AZ23" s="97" t="str">
        <f t="shared" si="24"/>
        <v/>
      </c>
      <c r="BA23" s="49" t="str">
        <f t="shared" si="25"/>
        <v/>
      </c>
      <c r="BB23" s="80" t="str">
        <f t="shared" si="26"/>
        <v/>
      </c>
      <c r="BC23" s="80" t="str">
        <f t="shared" si="27"/>
        <v/>
      </c>
      <c r="BD23" s="89">
        <f t="shared" si="28"/>
        <v>0</v>
      </c>
      <c r="BE23" s="60" t="str">
        <f t="shared" si="29"/>
        <v/>
      </c>
      <c r="BF23" s="102" t="str">
        <f t="shared" si="30"/>
        <v/>
      </c>
      <c r="BG23" s="103">
        <f t="shared" si="31"/>
        <v>-46258</v>
      </c>
      <c r="BH23" s="104" t="str">
        <f t="shared" si="32"/>
        <v/>
      </c>
      <c r="BI23" s="104" t="str">
        <f t="shared" si="33"/>
        <v/>
      </c>
      <c r="BJ23" s="104" t="str">
        <f t="shared" si="34"/>
        <v/>
      </c>
      <c r="BK23" s="104" t="str">
        <f t="shared" si="35"/>
        <v/>
      </c>
      <c r="BL23" s="104" t="str">
        <f t="shared" si="36"/>
        <v/>
      </c>
      <c r="BM23" s="57" t="str">
        <f>IF('2027'!$V$27="","",'2027'!$V$27)</f>
        <v/>
      </c>
      <c r="BN23" s="80" t="str">
        <f t="shared" si="37"/>
        <v/>
      </c>
      <c r="BO23" s="80" t="str">
        <f t="shared" si="38"/>
        <v/>
      </c>
      <c r="BP23" s="80" t="str">
        <f t="shared" si="39"/>
        <v/>
      </c>
      <c r="BQ23" s="80" t="str">
        <f t="shared" si="40"/>
        <v/>
      </c>
      <c r="BR23" s="80" t="str">
        <f t="shared" si="41"/>
        <v/>
      </c>
      <c r="BS23" s="116" t="str">
        <f t="shared" si="42"/>
        <v/>
      </c>
    </row>
    <row r="24" ht="15.0" customHeight="1">
      <c r="A24" s="49" t="str">
        <f>IF('2027'!$E$28="","",'2027'!$E$28)</f>
        <v/>
      </c>
      <c r="B24" s="50"/>
      <c r="C24" s="51" t="str">
        <f>IF('2027'!$B$28="","",'2027'!$B$28)</f>
        <v/>
      </c>
      <c r="D24" s="51" t="str">
        <f>IF('2027'!$C$28="","",'2027'!$C$28)</f>
        <v/>
      </c>
      <c r="E24" s="51" t="str">
        <f>IF('2027'!$D$28="","",'2027'!$D$28)</f>
        <v/>
      </c>
      <c r="F24" s="51" t="str">
        <f>IF('2027'!$E$28="","",'2027'!$E$28)</f>
        <v/>
      </c>
      <c r="G24" s="51" t="str">
        <f>IF('2027'!$F$28="","",'2027'!$F$28)</f>
        <v/>
      </c>
      <c r="H24" s="57" t="str">
        <f>IF('2027'!$H$28="","",'2027'!$H$28)</f>
        <v/>
      </c>
      <c r="I24" s="58"/>
      <c r="J24" s="51" t="str">
        <f>IF('2027'!$I$28="","",'2027'!$I$28)</f>
        <v/>
      </c>
      <c r="K24" s="51" t="str">
        <f t="shared" si="2"/>
        <v/>
      </c>
      <c r="L24" s="51" t="str">
        <f>IF('2027'!$J$28="","",'2027'!$J$28)</f>
        <v/>
      </c>
      <c r="M24" s="60" t="str">
        <f>IF('2027'!$K$28="","",'2027'!$K$28)</f>
        <v/>
      </c>
      <c r="N24" s="60" t="str">
        <f>IF('2027'!$L$28="","",'2027'!$L$28)</f>
        <v/>
      </c>
      <c r="O24" s="58" t="str">
        <f t="shared" si="3"/>
        <v/>
      </c>
      <c r="P24" s="58"/>
      <c r="Q24" s="51" t="str">
        <f t="shared" si="4"/>
        <v/>
      </c>
      <c r="R24" s="51" t="str">
        <f t="shared" si="5"/>
        <v/>
      </c>
      <c r="S24" s="58" t="str">
        <f t="shared" si="6"/>
        <v/>
      </c>
      <c r="T24" s="51" t="str">
        <f t="shared" si="7"/>
        <v/>
      </c>
      <c r="U24" s="50" t="str">
        <f t="shared" si="8"/>
        <v/>
      </c>
      <c r="V24" s="58" t="str">
        <f>IF('2027'!$G$28="","",'2027'!$G$28)</f>
        <v/>
      </c>
      <c r="W24" s="58"/>
      <c r="X24" s="51" t="str">
        <f t="shared" si="9"/>
        <v/>
      </c>
      <c r="Y24" s="51" t="str">
        <f t="shared" si="10"/>
        <v/>
      </c>
      <c r="Z24" s="80" t="str">
        <f t="shared" si="11"/>
        <v/>
      </c>
      <c r="AA24" s="60"/>
      <c r="AB24" s="51" t="str">
        <f t="shared" si="12"/>
        <v/>
      </c>
      <c r="AC24" s="58" t="str">
        <f t="shared" si="13"/>
        <v/>
      </c>
      <c r="AD24" s="80" t="str">
        <f>IF('2027'!$M$28="","",'2027'!$M$28)</f>
        <v/>
      </c>
      <c r="AE24" s="49" t="str">
        <f>IF('2027'!$N$28="","",'2027'!$N$28)</f>
        <v/>
      </c>
      <c r="AF24" s="80">
        <f>IF('2027'!$O$28="","",'2027'!$O$28)</f>
        <v>0</v>
      </c>
      <c r="AG24" s="86"/>
      <c r="AH24" s="86"/>
      <c r="AI24" s="80" t="str">
        <f>IF('2027'!$Q$28="","",'2027'!$Q$28)</f>
        <v/>
      </c>
      <c r="AJ24" s="80" t="str">
        <f t="shared" si="14"/>
        <v/>
      </c>
      <c r="AK24" s="80" t="str">
        <f t="shared" si="15"/>
        <v/>
      </c>
      <c r="AL24" s="80">
        <f>IF('2027'!$R$28="","",'2027'!$R$28)</f>
        <v>0</v>
      </c>
      <c r="AM24" s="89">
        <f t="shared" ref="AM24:AN24" si="61">IFERROR(AI24-AJ24,0)</f>
        <v>0</v>
      </c>
      <c r="AN24" s="89">
        <f t="shared" si="61"/>
        <v>0</v>
      </c>
      <c r="AO24" s="91">
        <f>IF('2027'!$S$28="","",'2027'!$S$28)</f>
        <v>0</v>
      </c>
      <c r="AP24" s="92">
        <f t="shared" si="17"/>
        <v>0</v>
      </c>
      <c r="AQ24" s="86" t="str">
        <f t="shared" si="18"/>
        <v/>
      </c>
      <c r="AR24" s="80" t="str">
        <f>IF('2027'!$T$28="","",'2027'!$T$28)</f>
        <v/>
      </c>
      <c r="AS24" s="80">
        <f>IF('2027'!$U$28="","",'2027'!$U$28)</f>
        <v>0</v>
      </c>
      <c r="AT24" s="86" t="str">
        <f t="shared" si="19"/>
        <v/>
      </c>
      <c r="AU24" s="86"/>
      <c r="AV24" s="96" t="str">
        <f t="shared" si="20"/>
        <v/>
      </c>
      <c r="AW24" s="97" t="str">
        <f t="shared" si="21"/>
        <v/>
      </c>
      <c r="AX24" s="97" t="str">
        <f t="shared" si="22"/>
        <v/>
      </c>
      <c r="AY24" s="60" t="str">
        <f t="shared" si="23"/>
        <v/>
      </c>
      <c r="AZ24" s="97" t="str">
        <f t="shared" si="24"/>
        <v/>
      </c>
      <c r="BA24" s="49" t="str">
        <f t="shared" si="25"/>
        <v/>
      </c>
      <c r="BB24" s="80" t="str">
        <f t="shared" si="26"/>
        <v/>
      </c>
      <c r="BC24" s="80" t="str">
        <f t="shared" si="27"/>
        <v/>
      </c>
      <c r="BD24" s="89">
        <f t="shared" si="28"/>
        <v>0</v>
      </c>
      <c r="BE24" s="60" t="str">
        <f t="shared" si="29"/>
        <v/>
      </c>
      <c r="BF24" s="102" t="str">
        <f t="shared" si="30"/>
        <v/>
      </c>
      <c r="BG24" s="103">
        <f t="shared" si="31"/>
        <v>-46258</v>
      </c>
      <c r="BH24" s="104" t="str">
        <f t="shared" si="32"/>
        <v/>
      </c>
      <c r="BI24" s="104" t="str">
        <f t="shared" si="33"/>
        <v/>
      </c>
      <c r="BJ24" s="104" t="str">
        <f t="shared" si="34"/>
        <v/>
      </c>
      <c r="BK24" s="104" t="str">
        <f t="shared" si="35"/>
        <v/>
      </c>
      <c r="BL24" s="104" t="str">
        <f t="shared" si="36"/>
        <v/>
      </c>
      <c r="BM24" s="57" t="str">
        <f>IF('2027'!$V$28="","",'2027'!$V$28)</f>
        <v/>
      </c>
      <c r="BN24" s="80" t="str">
        <f t="shared" si="37"/>
        <v/>
      </c>
      <c r="BO24" s="80" t="str">
        <f t="shared" si="38"/>
        <v/>
      </c>
      <c r="BP24" s="80" t="str">
        <f t="shared" si="39"/>
        <v/>
      </c>
      <c r="BQ24" s="80" t="str">
        <f t="shared" si="40"/>
        <v/>
      </c>
      <c r="BR24" s="80" t="str">
        <f t="shared" si="41"/>
        <v/>
      </c>
      <c r="BS24" s="116" t="str">
        <f t="shared" si="42"/>
        <v/>
      </c>
    </row>
    <row r="25" ht="15.0" customHeight="1">
      <c r="A25" s="49" t="str">
        <f>IF('2027'!$E$29="","",'2027'!$E$29)</f>
        <v/>
      </c>
      <c r="B25" s="50"/>
      <c r="C25" s="51" t="str">
        <f>IF('2027'!$B$29="","",'2027'!$B$29)</f>
        <v/>
      </c>
      <c r="D25" s="51" t="str">
        <f>IF('2027'!$C$29="","",'2027'!$C$29)</f>
        <v/>
      </c>
      <c r="E25" s="51" t="str">
        <f>IF('2027'!$D$29="","",'2027'!$D$29)</f>
        <v/>
      </c>
      <c r="F25" s="51" t="str">
        <f>IF('2027'!$E$29="","",'2027'!$E$29)</f>
        <v/>
      </c>
      <c r="G25" s="51" t="str">
        <f>IF('2027'!$F$29="","",'2027'!$F$29)</f>
        <v/>
      </c>
      <c r="H25" s="57" t="str">
        <f>IF('2027'!$H$29="","",'2027'!$H$29)</f>
        <v/>
      </c>
      <c r="I25" s="58"/>
      <c r="J25" s="51" t="str">
        <f>IF('2027'!$I$29="","",'2027'!$I$29)</f>
        <v/>
      </c>
      <c r="K25" s="51" t="str">
        <f t="shared" si="2"/>
        <v/>
      </c>
      <c r="L25" s="51" t="str">
        <f>IF('2027'!$J$29="","",'2027'!$J$29)</f>
        <v/>
      </c>
      <c r="M25" s="60" t="str">
        <f>IF('2027'!$K$29="","",'2027'!$K$29)</f>
        <v/>
      </c>
      <c r="N25" s="60" t="str">
        <f>IF('2027'!$L$29="","",'2027'!$L$29)</f>
        <v/>
      </c>
      <c r="O25" s="58" t="str">
        <f t="shared" si="3"/>
        <v/>
      </c>
      <c r="P25" s="58"/>
      <c r="Q25" s="51" t="str">
        <f t="shared" si="4"/>
        <v/>
      </c>
      <c r="R25" s="51" t="str">
        <f t="shared" si="5"/>
        <v/>
      </c>
      <c r="S25" s="58" t="str">
        <f t="shared" si="6"/>
        <v/>
      </c>
      <c r="T25" s="51" t="str">
        <f t="shared" si="7"/>
        <v/>
      </c>
      <c r="U25" s="50" t="str">
        <f t="shared" si="8"/>
        <v/>
      </c>
      <c r="V25" s="58" t="str">
        <f>IF('2027'!$G$29="","",'2027'!$G$29)</f>
        <v/>
      </c>
      <c r="W25" s="58"/>
      <c r="X25" s="51" t="str">
        <f t="shared" si="9"/>
        <v/>
      </c>
      <c r="Y25" s="51" t="str">
        <f t="shared" si="10"/>
        <v/>
      </c>
      <c r="Z25" s="80" t="str">
        <f t="shared" si="11"/>
        <v/>
      </c>
      <c r="AA25" s="60"/>
      <c r="AB25" s="51" t="str">
        <f t="shared" si="12"/>
        <v/>
      </c>
      <c r="AC25" s="58" t="str">
        <f t="shared" si="13"/>
        <v/>
      </c>
      <c r="AD25" s="80" t="str">
        <f>IF('2027'!$M$29="","",'2027'!$M$29)</f>
        <v/>
      </c>
      <c r="AE25" s="49" t="str">
        <f>IF('2027'!$N$29="","",'2027'!$N$29)</f>
        <v/>
      </c>
      <c r="AF25" s="80">
        <f>IF('2027'!$O$29="","",'2027'!$O$29)</f>
        <v>0</v>
      </c>
      <c r="AG25" s="86"/>
      <c r="AH25" s="86"/>
      <c r="AI25" s="80" t="str">
        <f>IF('2027'!$Q$29="","",'2027'!$Q$29)</f>
        <v/>
      </c>
      <c r="AJ25" s="80" t="str">
        <f t="shared" si="14"/>
        <v/>
      </c>
      <c r="AK25" s="80" t="str">
        <f t="shared" si="15"/>
        <v/>
      </c>
      <c r="AL25" s="80">
        <f>IF('2027'!$R$29="","",'2027'!$R$29)</f>
        <v>0</v>
      </c>
      <c r="AM25" s="89">
        <f t="shared" ref="AM25:AN25" si="62">IFERROR(AI25-AJ25,0)</f>
        <v>0</v>
      </c>
      <c r="AN25" s="89">
        <f t="shared" si="62"/>
        <v>0</v>
      </c>
      <c r="AO25" s="91">
        <f>IF('2027'!$S$29="","",'2027'!$S$29)</f>
        <v>0</v>
      </c>
      <c r="AP25" s="92">
        <f t="shared" si="17"/>
        <v>0</v>
      </c>
      <c r="AQ25" s="86" t="str">
        <f t="shared" si="18"/>
        <v/>
      </c>
      <c r="AR25" s="80" t="str">
        <f>IF('2027'!$T$29="","",'2027'!$T$29)</f>
        <v/>
      </c>
      <c r="AS25" s="80">
        <f>IF('2027'!$U$29="","",'2027'!$U$29)</f>
        <v>0</v>
      </c>
      <c r="AT25" s="86" t="str">
        <f t="shared" si="19"/>
        <v/>
      </c>
      <c r="AU25" s="86"/>
      <c r="AV25" s="96" t="str">
        <f t="shared" si="20"/>
        <v/>
      </c>
      <c r="AW25" s="97" t="str">
        <f t="shared" si="21"/>
        <v/>
      </c>
      <c r="AX25" s="97" t="str">
        <f t="shared" si="22"/>
        <v/>
      </c>
      <c r="AY25" s="60" t="str">
        <f t="shared" si="23"/>
        <v/>
      </c>
      <c r="AZ25" s="97" t="str">
        <f t="shared" si="24"/>
        <v/>
      </c>
      <c r="BA25" s="49" t="str">
        <f t="shared" si="25"/>
        <v/>
      </c>
      <c r="BB25" s="80" t="str">
        <f t="shared" si="26"/>
        <v/>
      </c>
      <c r="BC25" s="80" t="str">
        <f t="shared" si="27"/>
        <v/>
      </c>
      <c r="BD25" s="89">
        <f t="shared" si="28"/>
        <v>0</v>
      </c>
      <c r="BE25" s="60" t="str">
        <f t="shared" si="29"/>
        <v/>
      </c>
      <c r="BF25" s="102" t="str">
        <f t="shared" si="30"/>
        <v/>
      </c>
      <c r="BG25" s="103">
        <f t="shared" si="31"/>
        <v>-46258</v>
      </c>
      <c r="BH25" s="104" t="str">
        <f t="shared" si="32"/>
        <v/>
      </c>
      <c r="BI25" s="104" t="str">
        <f t="shared" si="33"/>
        <v/>
      </c>
      <c r="BJ25" s="104" t="str">
        <f t="shared" si="34"/>
        <v/>
      </c>
      <c r="BK25" s="104" t="str">
        <f t="shared" si="35"/>
        <v/>
      </c>
      <c r="BL25" s="104" t="str">
        <f t="shared" si="36"/>
        <v/>
      </c>
      <c r="BM25" s="57" t="str">
        <f>IF('2027'!$V$29="","",'2027'!$V$29)</f>
        <v/>
      </c>
      <c r="BN25" s="80" t="str">
        <f t="shared" si="37"/>
        <v/>
      </c>
      <c r="BO25" s="80" t="str">
        <f t="shared" si="38"/>
        <v/>
      </c>
      <c r="BP25" s="80" t="str">
        <f t="shared" si="39"/>
        <v/>
      </c>
      <c r="BQ25" s="80" t="str">
        <f t="shared" si="40"/>
        <v/>
      </c>
      <c r="BR25" s="80" t="str">
        <f t="shared" si="41"/>
        <v/>
      </c>
      <c r="BS25" s="116" t="str">
        <f t="shared" si="42"/>
        <v/>
      </c>
    </row>
    <row r="26" ht="15.0" customHeight="1">
      <c r="A26" s="49" t="str">
        <f>IF('2027'!$E$30="","",'2027'!$E$30)</f>
        <v/>
      </c>
      <c r="B26" s="50"/>
      <c r="C26" s="51" t="str">
        <f>IF('2027'!$B$30="","",'2027'!$B$30)</f>
        <v/>
      </c>
      <c r="D26" s="51" t="str">
        <f>IF('2027'!$C$30="","",'2027'!$C$30)</f>
        <v/>
      </c>
      <c r="E26" s="51" t="str">
        <f>IF('2027'!$D$30="","",'2027'!$D$30)</f>
        <v/>
      </c>
      <c r="F26" s="51" t="str">
        <f>IF('2027'!$E$30="","",'2027'!$E$30)</f>
        <v/>
      </c>
      <c r="G26" s="51" t="str">
        <f>IF('2027'!$F$30="","",'2027'!$F$30)</f>
        <v/>
      </c>
      <c r="H26" s="57" t="str">
        <f>IF('2027'!$H$30="","",'2027'!$H$30)</f>
        <v/>
      </c>
      <c r="I26" s="58"/>
      <c r="J26" s="51" t="str">
        <f>IF('2027'!$I$30="","",'2027'!$I$30)</f>
        <v/>
      </c>
      <c r="K26" s="51" t="str">
        <f t="shared" si="2"/>
        <v/>
      </c>
      <c r="L26" s="51" t="str">
        <f>IF('2027'!$J$30="","",'2027'!$J$30)</f>
        <v/>
      </c>
      <c r="M26" s="60" t="str">
        <f>IF('2027'!$K$30="","",'2027'!$K$30)</f>
        <v/>
      </c>
      <c r="N26" s="60" t="str">
        <f>IF('2027'!$L$30="","",'2027'!$L$30)</f>
        <v/>
      </c>
      <c r="O26" s="58" t="str">
        <f t="shared" si="3"/>
        <v/>
      </c>
      <c r="P26" s="58"/>
      <c r="Q26" s="51" t="str">
        <f t="shared" si="4"/>
        <v/>
      </c>
      <c r="R26" s="51" t="str">
        <f t="shared" si="5"/>
        <v/>
      </c>
      <c r="S26" s="58" t="str">
        <f t="shared" si="6"/>
        <v/>
      </c>
      <c r="T26" s="51" t="str">
        <f t="shared" si="7"/>
        <v/>
      </c>
      <c r="U26" s="50" t="str">
        <f t="shared" si="8"/>
        <v/>
      </c>
      <c r="V26" s="58" t="str">
        <f>IF('2027'!$G$30="","",'2027'!$G$30)</f>
        <v/>
      </c>
      <c r="W26" s="58"/>
      <c r="X26" s="51" t="str">
        <f t="shared" si="9"/>
        <v/>
      </c>
      <c r="Y26" s="51" t="str">
        <f t="shared" si="10"/>
        <v/>
      </c>
      <c r="Z26" s="80" t="str">
        <f t="shared" si="11"/>
        <v/>
      </c>
      <c r="AA26" s="60"/>
      <c r="AB26" s="51" t="str">
        <f t="shared" si="12"/>
        <v/>
      </c>
      <c r="AC26" s="58" t="str">
        <f t="shared" si="13"/>
        <v/>
      </c>
      <c r="AD26" s="80" t="str">
        <f>IF('2027'!$M$30="","",'2027'!$M$30)</f>
        <v/>
      </c>
      <c r="AE26" s="49" t="str">
        <f>IF('2027'!$N$30="","",'2027'!$N$30)</f>
        <v/>
      </c>
      <c r="AF26" s="80">
        <f>IF('2027'!$O$30="","",'2027'!$O$30)</f>
        <v>0</v>
      </c>
      <c r="AG26" s="86"/>
      <c r="AH26" s="86"/>
      <c r="AI26" s="80" t="str">
        <f>IF('2027'!$Q$30="","",'2027'!$Q$30)</f>
        <v/>
      </c>
      <c r="AJ26" s="80" t="str">
        <f t="shared" si="14"/>
        <v/>
      </c>
      <c r="AK26" s="80" t="str">
        <f t="shared" si="15"/>
        <v/>
      </c>
      <c r="AL26" s="80">
        <f>IF('2027'!$R$30="","",'2027'!$R$30)</f>
        <v>0</v>
      </c>
      <c r="AM26" s="89">
        <f t="shared" ref="AM26:AN26" si="63">IFERROR(AI26-AJ26,0)</f>
        <v>0</v>
      </c>
      <c r="AN26" s="89">
        <f t="shared" si="63"/>
        <v>0</v>
      </c>
      <c r="AO26" s="91">
        <f>IF('2027'!$S$30="","",'2027'!$S$30)</f>
        <v>0</v>
      </c>
      <c r="AP26" s="92">
        <f t="shared" si="17"/>
        <v>0</v>
      </c>
      <c r="AQ26" s="86" t="str">
        <f t="shared" si="18"/>
        <v/>
      </c>
      <c r="AR26" s="80" t="str">
        <f>IF('2027'!$T$30="","",'2027'!$T$30)</f>
        <v/>
      </c>
      <c r="AS26" s="80">
        <f>IF('2027'!$U$30="","",'2027'!$U$30)</f>
        <v>0</v>
      </c>
      <c r="AT26" s="86" t="str">
        <f t="shared" si="19"/>
        <v/>
      </c>
      <c r="AU26" s="86"/>
      <c r="AV26" s="96" t="str">
        <f t="shared" si="20"/>
        <v/>
      </c>
      <c r="AW26" s="97" t="str">
        <f t="shared" si="21"/>
        <v/>
      </c>
      <c r="AX26" s="97" t="str">
        <f t="shared" si="22"/>
        <v/>
      </c>
      <c r="AY26" s="60" t="str">
        <f t="shared" si="23"/>
        <v/>
      </c>
      <c r="AZ26" s="97" t="str">
        <f t="shared" si="24"/>
        <v/>
      </c>
      <c r="BA26" s="49" t="str">
        <f t="shared" si="25"/>
        <v/>
      </c>
      <c r="BB26" s="80" t="str">
        <f t="shared" si="26"/>
        <v/>
      </c>
      <c r="BC26" s="80" t="str">
        <f t="shared" si="27"/>
        <v/>
      </c>
      <c r="BD26" s="89">
        <f t="shared" si="28"/>
        <v>0</v>
      </c>
      <c r="BE26" s="60" t="str">
        <f t="shared" si="29"/>
        <v/>
      </c>
      <c r="BF26" s="102" t="str">
        <f t="shared" si="30"/>
        <v/>
      </c>
      <c r="BG26" s="103">
        <f t="shared" si="31"/>
        <v>-46258</v>
      </c>
      <c r="BH26" s="104" t="str">
        <f t="shared" si="32"/>
        <v/>
      </c>
      <c r="BI26" s="104" t="str">
        <f t="shared" si="33"/>
        <v/>
      </c>
      <c r="BJ26" s="104" t="str">
        <f t="shared" si="34"/>
        <v/>
      </c>
      <c r="BK26" s="104" t="str">
        <f t="shared" si="35"/>
        <v/>
      </c>
      <c r="BL26" s="104" t="str">
        <f t="shared" si="36"/>
        <v/>
      </c>
      <c r="BM26" s="57" t="str">
        <f>IF('2027'!$V$30="","",'2027'!$V$30)</f>
        <v/>
      </c>
      <c r="BN26" s="80" t="str">
        <f t="shared" si="37"/>
        <v/>
      </c>
      <c r="BO26" s="80" t="str">
        <f t="shared" si="38"/>
        <v/>
      </c>
      <c r="BP26" s="80" t="str">
        <f t="shared" si="39"/>
        <v/>
      </c>
      <c r="BQ26" s="80" t="str">
        <f t="shared" si="40"/>
        <v/>
      </c>
      <c r="BR26" s="80" t="str">
        <f t="shared" si="41"/>
        <v/>
      </c>
      <c r="BS26" s="116" t="str">
        <f t="shared" si="42"/>
        <v/>
      </c>
    </row>
    <row r="27" ht="15.0" customHeight="1">
      <c r="A27" s="49" t="str">
        <f>IF('2027'!$E$31="","",'2027'!$E$31)</f>
        <v/>
      </c>
      <c r="B27" s="50"/>
      <c r="C27" s="51" t="str">
        <f>IF('2027'!$B$31="","",'2027'!$B$31)</f>
        <v/>
      </c>
      <c r="D27" s="51" t="str">
        <f>IF('2027'!$C$31="","",'2027'!$C$31)</f>
        <v/>
      </c>
      <c r="E27" s="51" t="str">
        <f>IF('2027'!$D$31="","",'2027'!$D$31)</f>
        <v/>
      </c>
      <c r="F27" s="51" t="str">
        <f>IF('2027'!$E$31="","",'2027'!$E$31)</f>
        <v/>
      </c>
      <c r="G27" s="51" t="str">
        <f>IF('2027'!$F$31="","",'2027'!$F$31)</f>
        <v/>
      </c>
      <c r="H27" s="57" t="str">
        <f>IF('2027'!$H$31="","",'2027'!$H$31)</f>
        <v/>
      </c>
      <c r="I27" s="58"/>
      <c r="J27" s="51" t="str">
        <f>IF('2027'!$I$31="","",'2027'!$I$31)</f>
        <v/>
      </c>
      <c r="K27" s="51" t="str">
        <f t="shared" si="2"/>
        <v/>
      </c>
      <c r="L27" s="51" t="str">
        <f>IF('2027'!$J$31="","",'2027'!$J$31)</f>
        <v/>
      </c>
      <c r="M27" s="60" t="str">
        <f>IF('2027'!$K$31="","",'2027'!$K$31)</f>
        <v/>
      </c>
      <c r="N27" s="60" t="str">
        <f>IF('2027'!$L$31="","",'2027'!$L$31)</f>
        <v/>
      </c>
      <c r="O27" s="58" t="str">
        <f t="shared" si="3"/>
        <v/>
      </c>
      <c r="P27" s="58"/>
      <c r="Q27" s="51" t="str">
        <f t="shared" si="4"/>
        <v/>
      </c>
      <c r="R27" s="51" t="str">
        <f t="shared" si="5"/>
        <v/>
      </c>
      <c r="S27" s="58" t="str">
        <f t="shared" si="6"/>
        <v/>
      </c>
      <c r="T27" s="51" t="str">
        <f t="shared" si="7"/>
        <v/>
      </c>
      <c r="U27" s="50" t="str">
        <f t="shared" si="8"/>
        <v/>
      </c>
      <c r="V27" s="58" t="str">
        <f>IF('2027'!$G$31="","",'2027'!$G$31)</f>
        <v/>
      </c>
      <c r="W27" s="58"/>
      <c r="X27" s="51" t="str">
        <f t="shared" si="9"/>
        <v/>
      </c>
      <c r="Y27" s="51" t="str">
        <f t="shared" si="10"/>
        <v/>
      </c>
      <c r="Z27" s="80" t="str">
        <f t="shared" si="11"/>
        <v/>
      </c>
      <c r="AA27" s="60"/>
      <c r="AB27" s="51" t="str">
        <f t="shared" si="12"/>
        <v/>
      </c>
      <c r="AC27" s="58" t="str">
        <f t="shared" si="13"/>
        <v/>
      </c>
      <c r="AD27" s="80" t="str">
        <f>IF('2027'!$M$31="","",'2027'!$M$31)</f>
        <v/>
      </c>
      <c r="AE27" s="49" t="str">
        <f>IF('2027'!$N$31="","",'2027'!$N$31)</f>
        <v/>
      </c>
      <c r="AF27" s="80">
        <f>IF('2027'!$O$31="","",'2027'!$O$31)</f>
        <v>0</v>
      </c>
      <c r="AG27" s="86"/>
      <c r="AH27" s="86"/>
      <c r="AI27" s="80" t="str">
        <f>IF('2027'!$Q$31="","",'2027'!$Q$31)</f>
        <v/>
      </c>
      <c r="AJ27" s="80" t="str">
        <f t="shared" si="14"/>
        <v/>
      </c>
      <c r="AK27" s="80" t="str">
        <f t="shared" si="15"/>
        <v/>
      </c>
      <c r="AL27" s="80">
        <f>IF('2027'!$R$31="","",'2027'!$R$31)</f>
        <v>0</v>
      </c>
      <c r="AM27" s="89">
        <f t="shared" ref="AM27:AN27" si="64">IFERROR(AI27-AJ27,0)</f>
        <v>0</v>
      </c>
      <c r="AN27" s="89">
        <f t="shared" si="64"/>
        <v>0</v>
      </c>
      <c r="AO27" s="91">
        <f>IF('2027'!$S$31="","",'2027'!$S$31)</f>
        <v>0</v>
      </c>
      <c r="AP27" s="92">
        <f t="shared" si="17"/>
        <v>0</v>
      </c>
      <c r="AQ27" s="86" t="str">
        <f t="shared" si="18"/>
        <v/>
      </c>
      <c r="AR27" s="80" t="str">
        <f>IF('2027'!$T$31="","",'2027'!$T$31)</f>
        <v/>
      </c>
      <c r="AS27" s="80">
        <f>IF('2027'!$U$31="","",'2027'!$U$31)</f>
        <v>0</v>
      </c>
      <c r="AT27" s="86" t="str">
        <f t="shared" si="19"/>
        <v/>
      </c>
      <c r="AU27" s="86"/>
      <c r="AV27" s="96" t="str">
        <f t="shared" si="20"/>
        <v/>
      </c>
      <c r="AW27" s="97" t="str">
        <f t="shared" si="21"/>
        <v/>
      </c>
      <c r="AX27" s="97" t="str">
        <f t="shared" si="22"/>
        <v/>
      </c>
      <c r="AY27" s="60" t="str">
        <f t="shared" si="23"/>
        <v/>
      </c>
      <c r="AZ27" s="97" t="str">
        <f t="shared" si="24"/>
        <v/>
      </c>
      <c r="BA27" s="49" t="str">
        <f t="shared" si="25"/>
        <v/>
      </c>
      <c r="BB27" s="80" t="str">
        <f t="shared" si="26"/>
        <v/>
      </c>
      <c r="BC27" s="80" t="str">
        <f t="shared" si="27"/>
        <v/>
      </c>
      <c r="BD27" s="89">
        <f t="shared" si="28"/>
        <v>0</v>
      </c>
      <c r="BE27" s="60" t="str">
        <f t="shared" si="29"/>
        <v/>
      </c>
      <c r="BF27" s="102" t="str">
        <f t="shared" si="30"/>
        <v/>
      </c>
      <c r="BG27" s="103">
        <f t="shared" si="31"/>
        <v>-46258</v>
      </c>
      <c r="BH27" s="104" t="str">
        <f t="shared" si="32"/>
        <v/>
      </c>
      <c r="BI27" s="104" t="str">
        <f t="shared" si="33"/>
        <v/>
      </c>
      <c r="BJ27" s="104" t="str">
        <f t="shared" si="34"/>
        <v/>
      </c>
      <c r="BK27" s="104" t="str">
        <f t="shared" si="35"/>
        <v/>
      </c>
      <c r="BL27" s="104" t="str">
        <f t="shared" si="36"/>
        <v/>
      </c>
      <c r="BM27" s="57" t="str">
        <f>IF('2027'!$V$31="","",'2027'!$V$31)</f>
        <v/>
      </c>
      <c r="BN27" s="80" t="str">
        <f t="shared" si="37"/>
        <v/>
      </c>
      <c r="BO27" s="80" t="str">
        <f t="shared" si="38"/>
        <v/>
      </c>
      <c r="BP27" s="80" t="str">
        <f t="shared" si="39"/>
        <v/>
      </c>
      <c r="BQ27" s="80" t="str">
        <f t="shared" si="40"/>
        <v/>
      </c>
      <c r="BR27" s="80" t="str">
        <f t="shared" si="41"/>
        <v/>
      </c>
      <c r="BS27" s="116" t="str">
        <f t="shared" si="42"/>
        <v/>
      </c>
    </row>
    <row r="28" ht="15.0" customHeight="1">
      <c r="A28" s="49" t="str">
        <f>IF('2027'!$E$32="","",'2027'!$E$32)</f>
        <v/>
      </c>
      <c r="B28" s="50"/>
      <c r="C28" s="51" t="str">
        <f>IF('2027'!$B$32="","",'2027'!$B$32)</f>
        <v/>
      </c>
      <c r="D28" s="51" t="str">
        <f>IF('2027'!$C$32="","",'2027'!$C$32)</f>
        <v/>
      </c>
      <c r="E28" s="51" t="str">
        <f>IF('2027'!$D$32="","",'2027'!$D$32)</f>
        <v/>
      </c>
      <c r="F28" s="51" t="str">
        <f>IF('2027'!$E$32="","",'2027'!$E$32)</f>
        <v/>
      </c>
      <c r="G28" s="51" t="str">
        <f>IF('2027'!$F$32="","",'2027'!$F$32)</f>
        <v/>
      </c>
      <c r="H28" s="57" t="str">
        <f>IF('2027'!$H$32="","",'2027'!$H$32)</f>
        <v/>
      </c>
      <c r="I28" s="58"/>
      <c r="J28" s="51" t="str">
        <f>IF('2027'!$I$32="","",'2027'!$I$32)</f>
        <v/>
      </c>
      <c r="K28" s="51" t="str">
        <f t="shared" si="2"/>
        <v/>
      </c>
      <c r="L28" s="51" t="str">
        <f>IF('2027'!$J$32="","",'2027'!$J$32)</f>
        <v/>
      </c>
      <c r="M28" s="60" t="str">
        <f>IF('2027'!$K$32="","",'2027'!$K$32)</f>
        <v/>
      </c>
      <c r="N28" s="60" t="str">
        <f>IF('2027'!$L$32="","",'2027'!$L$32)</f>
        <v/>
      </c>
      <c r="O28" s="58" t="str">
        <f t="shared" si="3"/>
        <v/>
      </c>
      <c r="P28" s="58"/>
      <c r="Q28" s="51" t="str">
        <f t="shared" si="4"/>
        <v/>
      </c>
      <c r="R28" s="51" t="str">
        <f t="shared" si="5"/>
        <v/>
      </c>
      <c r="S28" s="58" t="str">
        <f t="shared" si="6"/>
        <v/>
      </c>
      <c r="T28" s="51" t="str">
        <f t="shared" si="7"/>
        <v/>
      </c>
      <c r="U28" s="50" t="str">
        <f t="shared" si="8"/>
        <v/>
      </c>
      <c r="V28" s="58" t="str">
        <f>IF('2027'!$G$32="","",'2027'!$G$32)</f>
        <v/>
      </c>
      <c r="W28" s="58"/>
      <c r="X28" s="51" t="str">
        <f t="shared" si="9"/>
        <v/>
      </c>
      <c r="Y28" s="51" t="str">
        <f t="shared" si="10"/>
        <v/>
      </c>
      <c r="Z28" s="80" t="str">
        <f t="shared" si="11"/>
        <v/>
      </c>
      <c r="AA28" s="60"/>
      <c r="AB28" s="51" t="str">
        <f t="shared" si="12"/>
        <v/>
      </c>
      <c r="AC28" s="58" t="str">
        <f t="shared" si="13"/>
        <v/>
      </c>
      <c r="AD28" s="80" t="str">
        <f>IF('2027'!$M$32="","",'2027'!$M$32)</f>
        <v/>
      </c>
      <c r="AE28" s="49" t="str">
        <f>IF('2027'!$N$32="","",'2027'!$N$32)</f>
        <v/>
      </c>
      <c r="AF28" s="80">
        <f>IF('2027'!$O$32="","",'2027'!$O$32)</f>
        <v>0</v>
      </c>
      <c r="AG28" s="86"/>
      <c r="AH28" s="86"/>
      <c r="AI28" s="80" t="str">
        <f>IF('2027'!$Q$32="","",'2027'!$Q$32)</f>
        <v/>
      </c>
      <c r="AJ28" s="80" t="str">
        <f t="shared" si="14"/>
        <v/>
      </c>
      <c r="AK28" s="80" t="str">
        <f t="shared" si="15"/>
        <v/>
      </c>
      <c r="AL28" s="80">
        <f>IF('2027'!$R$32="","",'2027'!$R$32)</f>
        <v>0</v>
      </c>
      <c r="AM28" s="89">
        <f t="shared" ref="AM28:AN28" si="65">IFERROR(AI28-AJ28,0)</f>
        <v>0</v>
      </c>
      <c r="AN28" s="89">
        <f t="shared" si="65"/>
        <v>0</v>
      </c>
      <c r="AO28" s="91">
        <f>IF('2027'!$S$32="","",'2027'!$S$32)</f>
        <v>0</v>
      </c>
      <c r="AP28" s="92">
        <f t="shared" si="17"/>
        <v>0</v>
      </c>
      <c r="AQ28" s="86" t="str">
        <f t="shared" si="18"/>
        <v/>
      </c>
      <c r="AR28" s="80" t="str">
        <f>IF('2027'!$T$32="","",'2027'!$T$32)</f>
        <v/>
      </c>
      <c r="AS28" s="80">
        <f>IF('2027'!$U$32="","",'2027'!$U$32)</f>
        <v>0</v>
      </c>
      <c r="AT28" s="86" t="str">
        <f t="shared" si="19"/>
        <v/>
      </c>
      <c r="AU28" s="86"/>
      <c r="AV28" s="96" t="str">
        <f t="shared" si="20"/>
        <v/>
      </c>
      <c r="AW28" s="97" t="str">
        <f t="shared" si="21"/>
        <v/>
      </c>
      <c r="AX28" s="97" t="str">
        <f t="shared" si="22"/>
        <v/>
      </c>
      <c r="AY28" s="60" t="str">
        <f t="shared" si="23"/>
        <v/>
      </c>
      <c r="AZ28" s="97" t="str">
        <f t="shared" si="24"/>
        <v/>
      </c>
      <c r="BA28" s="49" t="str">
        <f t="shared" si="25"/>
        <v/>
      </c>
      <c r="BB28" s="80" t="str">
        <f t="shared" si="26"/>
        <v/>
      </c>
      <c r="BC28" s="80" t="str">
        <f t="shared" si="27"/>
        <v/>
      </c>
      <c r="BD28" s="89">
        <f t="shared" si="28"/>
        <v>0</v>
      </c>
      <c r="BE28" s="60" t="str">
        <f t="shared" si="29"/>
        <v/>
      </c>
      <c r="BF28" s="102" t="str">
        <f t="shared" si="30"/>
        <v/>
      </c>
      <c r="BG28" s="103">
        <f t="shared" si="31"/>
        <v>-46258</v>
      </c>
      <c r="BH28" s="104" t="str">
        <f t="shared" si="32"/>
        <v/>
      </c>
      <c r="BI28" s="104" t="str">
        <f t="shared" si="33"/>
        <v/>
      </c>
      <c r="BJ28" s="104" t="str">
        <f t="shared" si="34"/>
        <v/>
      </c>
      <c r="BK28" s="104" t="str">
        <f t="shared" si="35"/>
        <v/>
      </c>
      <c r="BL28" s="104" t="str">
        <f t="shared" si="36"/>
        <v/>
      </c>
      <c r="BM28" s="57" t="str">
        <f>IF('2027'!$V$32="","",'2027'!$V$32)</f>
        <v/>
      </c>
      <c r="BN28" s="80" t="str">
        <f t="shared" si="37"/>
        <v/>
      </c>
      <c r="BO28" s="80" t="str">
        <f t="shared" si="38"/>
        <v/>
      </c>
      <c r="BP28" s="80" t="str">
        <f t="shared" si="39"/>
        <v/>
      </c>
      <c r="BQ28" s="80" t="str">
        <f t="shared" si="40"/>
        <v/>
      </c>
      <c r="BR28" s="80" t="str">
        <f t="shared" si="41"/>
        <v/>
      </c>
      <c r="BS28" s="116" t="str">
        <f t="shared" si="42"/>
        <v/>
      </c>
    </row>
    <row r="29" ht="15.0" customHeight="1">
      <c r="A29" s="49" t="str">
        <f>IF('2027'!$E$33="","",'2027'!$E$33)</f>
        <v/>
      </c>
      <c r="B29" s="50"/>
      <c r="C29" s="51" t="str">
        <f>IF('2027'!$B$33="","",'2027'!$B$33)</f>
        <v/>
      </c>
      <c r="D29" s="51" t="str">
        <f>IF('2027'!$C$33="","",'2027'!$C$33)</f>
        <v/>
      </c>
      <c r="E29" s="51" t="str">
        <f>IF('2027'!$D$33="","",'2027'!$D$33)</f>
        <v/>
      </c>
      <c r="F29" s="51" t="str">
        <f>IF('2027'!$E$33="","",'2027'!$E$33)</f>
        <v/>
      </c>
      <c r="G29" s="51" t="str">
        <f>IF('2027'!$F$33="","",'2027'!$F$33)</f>
        <v/>
      </c>
      <c r="H29" s="57" t="str">
        <f>IF('2027'!$H$33="","",'2027'!$H$33)</f>
        <v/>
      </c>
      <c r="I29" s="58"/>
      <c r="J29" s="51" t="str">
        <f>IF('2027'!$I$33="","",'2027'!$I$33)</f>
        <v/>
      </c>
      <c r="K29" s="51" t="str">
        <f t="shared" si="2"/>
        <v/>
      </c>
      <c r="L29" s="51" t="str">
        <f>IF('2027'!$J$33="","",'2027'!$J$33)</f>
        <v/>
      </c>
      <c r="M29" s="60" t="str">
        <f>IF('2027'!$K$33="","",'2027'!$K$33)</f>
        <v/>
      </c>
      <c r="N29" s="60" t="str">
        <f>IF('2027'!$L$33="","",'2027'!$L$33)</f>
        <v/>
      </c>
      <c r="O29" s="58" t="str">
        <f t="shared" si="3"/>
        <v/>
      </c>
      <c r="P29" s="58"/>
      <c r="Q29" s="51" t="str">
        <f t="shared" si="4"/>
        <v/>
      </c>
      <c r="R29" s="51" t="str">
        <f t="shared" si="5"/>
        <v/>
      </c>
      <c r="S29" s="58" t="str">
        <f t="shared" si="6"/>
        <v/>
      </c>
      <c r="T29" s="51" t="str">
        <f t="shared" si="7"/>
        <v/>
      </c>
      <c r="U29" s="50" t="str">
        <f t="shared" si="8"/>
        <v/>
      </c>
      <c r="V29" s="58" t="str">
        <f>IF('2027'!$G$33="","",'2027'!$G$33)</f>
        <v/>
      </c>
      <c r="W29" s="58"/>
      <c r="X29" s="51" t="str">
        <f t="shared" si="9"/>
        <v/>
      </c>
      <c r="Y29" s="51" t="str">
        <f t="shared" si="10"/>
        <v/>
      </c>
      <c r="Z29" s="80" t="str">
        <f t="shared" si="11"/>
        <v/>
      </c>
      <c r="AA29" s="60"/>
      <c r="AB29" s="51" t="str">
        <f t="shared" si="12"/>
        <v/>
      </c>
      <c r="AC29" s="58" t="str">
        <f t="shared" si="13"/>
        <v/>
      </c>
      <c r="AD29" s="80" t="str">
        <f>IF('2027'!$M$33="","",'2027'!$M$33)</f>
        <v/>
      </c>
      <c r="AE29" s="49" t="str">
        <f>IF('2027'!$N$33="","",'2027'!$N$33)</f>
        <v/>
      </c>
      <c r="AF29" s="80">
        <f>IF('2027'!$O$33="","",'2027'!$O$33)</f>
        <v>0</v>
      </c>
      <c r="AG29" s="86"/>
      <c r="AH29" s="86"/>
      <c r="AI29" s="80" t="str">
        <f>IF('2027'!$Q$33="","",'2027'!$Q$33)</f>
        <v/>
      </c>
      <c r="AJ29" s="80" t="str">
        <f t="shared" si="14"/>
        <v/>
      </c>
      <c r="AK29" s="80" t="str">
        <f t="shared" si="15"/>
        <v/>
      </c>
      <c r="AL29" s="80">
        <f>IF('2027'!$R$33="","",'2027'!$R$33)</f>
        <v>0</v>
      </c>
      <c r="AM29" s="89">
        <f t="shared" ref="AM29:AN29" si="66">IFERROR(AI29-AJ29,0)</f>
        <v>0</v>
      </c>
      <c r="AN29" s="89">
        <f t="shared" si="66"/>
        <v>0</v>
      </c>
      <c r="AO29" s="91">
        <f>IF('2027'!$S$33="","",'2027'!$S$33)</f>
        <v>0</v>
      </c>
      <c r="AP29" s="92">
        <f t="shared" si="17"/>
        <v>0</v>
      </c>
      <c r="AQ29" s="86" t="str">
        <f t="shared" si="18"/>
        <v/>
      </c>
      <c r="AR29" s="80" t="str">
        <f>IF('2027'!$T$33="","",'2027'!$T$33)</f>
        <v/>
      </c>
      <c r="AS29" s="80">
        <f>IF('2027'!$U$33="","",'2027'!$U$33)</f>
        <v>0</v>
      </c>
      <c r="AT29" s="86" t="str">
        <f t="shared" si="19"/>
        <v/>
      </c>
      <c r="AU29" s="86"/>
      <c r="AV29" s="96" t="str">
        <f t="shared" si="20"/>
        <v/>
      </c>
      <c r="AW29" s="97" t="str">
        <f t="shared" si="21"/>
        <v/>
      </c>
      <c r="AX29" s="97" t="str">
        <f t="shared" si="22"/>
        <v/>
      </c>
      <c r="AY29" s="60" t="str">
        <f t="shared" si="23"/>
        <v/>
      </c>
      <c r="AZ29" s="97" t="str">
        <f t="shared" si="24"/>
        <v/>
      </c>
      <c r="BA29" s="49" t="str">
        <f t="shared" si="25"/>
        <v/>
      </c>
      <c r="BB29" s="80" t="str">
        <f t="shared" si="26"/>
        <v/>
      </c>
      <c r="BC29" s="80" t="str">
        <f t="shared" si="27"/>
        <v/>
      </c>
      <c r="BD29" s="89">
        <f t="shared" si="28"/>
        <v>0</v>
      </c>
      <c r="BE29" s="60" t="str">
        <f t="shared" si="29"/>
        <v/>
      </c>
      <c r="BF29" s="102" t="str">
        <f t="shared" si="30"/>
        <v/>
      </c>
      <c r="BG29" s="103">
        <f t="shared" si="31"/>
        <v>-46258</v>
      </c>
      <c r="BH29" s="104" t="str">
        <f t="shared" si="32"/>
        <v/>
      </c>
      <c r="BI29" s="104" t="str">
        <f t="shared" si="33"/>
        <v/>
      </c>
      <c r="BJ29" s="104" t="str">
        <f t="shared" si="34"/>
        <v/>
      </c>
      <c r="BK29" s="104" t="str">
        <f t="shared" si="35"/>
        <v/>
      </c>
      <c r="BL29" s="104" t="str">
        <f t="shared" si="36"/>
        <v/>
      </c>
      <c r="BM29" s="57" t="str">
        <f>IF('2027'!$V$33="","",'2027'!$V$33)</f>
        <v/>
      </c>
      <c r="BN29" s="80" t="str">
        <f t="shared" si="37"/>
        <v/>
      </c>
      <c r="BO29" s="80" t="str">
        <f t="shared" si="38"/>
        <v/>
      </c>
      <c r="BP29" s="80" t="str">
        <f t="shared" si="39"/>
        <v/>
      </c>
      <c r="BQ29" s="80" t="str">
        <f t="shared" si="40"/>
        <v/>
      </c>
      <c r="BR29" s="80" t="str">
        <f t="shared" si="41"/>
        <v/>
      </c>
      <c r="BS29" s="116" t="str">
        <f t="shared" si="42"/>
        <v/>
      </c>
    </row>
    <row r="30" ht="15.0" customHeight="1">
      <c r="A30" s="49" t="str">
        <f>IF('2027'!$E$34="","",'2027'!$E$34)</f>
        <v/>
      </c>
      <c r="B30" s="50"/>
      <c r="C30" s="51" t="str">
        <f>IF('2027'!$B$34="","",'2027'!$B$34)</f>
        <v/>
      </c>
      <c r="D30" s="51" t="str">
        <f>IF('2027'!$C$34="","",'2027'!$C$34)</f>
        <v/>
      </c>
      <c r="E30" s="51" t="str">
        <f>IF('2027'!$D$34="","",'2027'!$D$34)</f>
        <v/>
      </c>
      <c r="F30" s="51" t="str">
        <f>IF('2027'!$E$34="","",'2027'!$E$34)</f>
        <v/>
      </c>
      <c r="G30" s="51" t="str">
        <f>IF('2027'!$F$34="","",'2027'!$F$34)</f>
        <v/>
      </c>
      <c r="H30" s="57" t="str">
        <f>IF('2027'!$H$34="","",'2027'!$H$34)</f>
        <v/>
      </c>
      <c r="I30" s="58"/>
      <c r="J30" s="51" t="str">
        <f>IF('2027'!$I$34="","",'2027'!$I$34)</f>
        <v/>
      </c>
      <c r="K30" s="51" t="str">
        <f t="shared" si="2"/>
        <v/>
      </c>
      <c r="L30" s="51" t="str">
        <f>IF('2027'!$J$34="","",'2027'!$J$34)</f>
        <v/>
      </c>
      <c r="M30" s="60" t="str">
        <f>IF('2027'!$K$34="","",'2027'!$K$34)</f>
        <v/>
      </c>
      <c r="N30" s="60" t="str">
        <f>IF('2027'!$L$34="","",'2027'!$L$34)</f>
        <v/>
      </c>
      <c r="O30" s="58" t="str">
        <f t="shared" si="3"/>
        <v/>
      </c>
      <c r="P30" s="58"/>
      <c r="Q30" s="51" t="str">
        <f t="shared" si="4"/>
        <v/>
      </c>
      <c r="R30" s="51" t="str">
        <f t="shared" si="5"/>
        <v/>
      </c>
      <c r="S30" s="58" t="str">
        <f t="shared" si="6"/>
        <v/>
      </c>
      <c r="T30" s="51" t="str">
        <f t="shared" si="7"/>
        <v/>
      </c>
      <c r="U30" s="50" t="str">
        <f t="shared" si="8"/>
        <v/>
      </c>
      <c r="V30" s="58" t="str">
        <f>IF('2027'!$G$34="","",'2027'!$G$34)</f>
        <v/>
      </c>
      <c r="W30" s="58"/>
      <c r="X30" s="51" t="str">
        <f t="shared" si="9"/>
        <v/>
      </c>
      <c r="Y30" s="51" t="str">
        <f t="shared" si="10"/>
        <v/>
      </c>
      <c r="Z30" s="80" t="str">
        <f t="shared" si="11"/>
        <v/>
      </c>
      <c r="AA30" s="60"/>
      <c r="AB30" s="51" t="str">
        <f t="shared" si="12"/>
        <v/>
      </c>
      <c r="AC30" s="58" t="str">
        <f t="shared" si="13"/>
        <v/>
      </c>
      <c r="AD30" s="80" t="str">
        <f>IF('2027'!$M$34="","",'2027'!$M$34)</f>
        <v/>
      </c>
      <c r="AE30" s="49" t="str">
        <f>IF('2027'!$N$34="","",'2027'!$N$34)</f>
        <v/>
      </c>
      <c r="AF30" s="80">
        <f>IF('2027'!$O$34="","",'2027'!$O$34)</f>
        <v>0</v>
      </c>
      <c r="AG30" s="86"/>
      <c r="AH30" s="86"/>
      <c r="AI30" s="80" t="str">
        <f>IF('2027'!$Q$34="","",'2027'!$Q$34)</f>
        <v/>
      </c>
      <c r="AJ30" s="80" t="str">
        <f t="shared" si="14"/>
        <v/>
      </c>
      <c r="AK30" s="80" t="str">
        <f t="shared" si="15"/>
        <v/>
      </c>
      <c r="AL30" s="80">
        <f>IF('2027'!$R$34="","",'2027'!$R$34)</f>
        <v>0</v>
      </c>
      <c r="AM30" s="89">
        <f t="shared" ref="AM30:AN30" si="67">IFERROR(AI30-AJ30,0)</f>
        <v>0</v>
      </c>
      <c r="AN30" s="89">
        <f t="shared" si="67"/>
        <v>0</v>
      </c>
      <c r="AO30" s="91">
        <f>IF('2027'!$S$34="","",'2027'!$S$34)</f>
        <v>0</v>
      </c>
      <c r="AP30" s="92">
        <f t="shared" si="17"/>
        <v>0</v>
      </c>
      <c r="AQ30" s="86" t="str">
        <f t="shared" si="18"/>
        <v/>
      </c>
      <c r="AR30" s="80" t="str">
        <f>IF('2027'!$T$34="","",'2027'!$T$34)</f>
        <v/>
      </c>
      <c r="AS30" s="80">
        <f>IF('2027'!$U$34="","",'2027'!$U$34)</f>
        <v>0</v>
      </c>
      <c r="AT30" s="86" t="str">
        <f t="shared" si="19"/>
        <v/>
      </c>
      <c r="AU30" s="86"/>
      <c r="AV30" s="96" t="str">
        <f t="shared" si="20"/>
        <v/>
      </c>
      <c r="AW30" s="97" t="str">
        <f t="shared" si="21"/>
        <v/>
      </c>
      <c r="AX30" s="97" t="str">
        <f t="shared" si="22"/>
        <v/>
      </c>
      <c r="AY30" s="60" t="str">
        <f t="shared" si="23"/>
        <v/>
      </c>
      <c r="AZ30" s="97" t="str">
        <f t="shared" si="24"/>
        <v/>
      </c>
      <c r="BA30" s="49" t="str">
        <f t="shared" si="25"/>
        <v/>
      </c>
      <c r="BB30" s="80" t="str">
        <f t="shared" si="26"/>
        <v/>
      </c>
      <c r="BC30" s="80" t="str">
        <f t="shared" si="27"/>
        <v/>
      </c>
      <c r="BD30" s="89">
        <f t="shared" si="28"/>
        <v>0</v>
      </c>
      <c r="BE30" s="60" t="str">
        <f t="shared" si="29"/>
        <v/>
      </c>
      <c r="BF30" s="102" t="str">
        <f t="shared" si="30"/>
        <v/>
      </c>
      <c r="BG30" s="103">
        <f t="shared" si="31"/>
        <v>-46258</v>
      </c>
      <c r="BH30" s="104" t="str">
        <f t="shared" si="32"/>
        <v/>
      </c>
      <c r="BI30" s="104" t="str">
        <f t="shared" si="33"/>
        <v/>
      </c>
      <c r="BJ30" s="104" t="str">
        <f t="shared" si="34"/>
        <v/>
      </c>
      <c r="BK30" s="104" t="str">
        <f t="shared" si="35"/>
        <v/>
      </c>
      <c r="BL30" s="104" t="str">
        <f t="shared" si="36"/>
        <v/>
      </c>
      <c r="BM30" s="57" t="str">
        <f>IF('2027'!$V$34="","",'2027'!$V$34)</f>
        <v/>
      </c>
      <c r="BN30" s="80" t="str">
        <f t="shared" si="37"/>
        <v/>
      </c>
      <c r="BO30" s="80" t="str">
        <f t="shared" si="38"/>
        <v/>
      </c>
      <c r="BP30" s="80" t="str">
        <f t="shared" si="39"/>
        <v/>
      </c>
      <c r="BQ30" s="80" t="str">
        <f t="shared" si="40"/>
        <v/>
      </c>
      <c r="BR30" s="80" t="str">
        <f t="shared" si="41"/>
        <v/>
      </c>
      <c r="BS30" s="116" t="str">
        <f t="shared" si="42"/>
        <v/>
      </c>
    </row>
    <row r="31" ht="15.0" customHeight="1">
      <c r="A31" s="49" t="str">
        <f>IF('2027'!$E$35="","",'2027'!$E$35)</f>
        <v/>
      </c>
      <c r="B31" s="50"/>
      <c r="C31" s="51" t="str">
        <f>IF('2027'!$B$35="","",'2027'!$B$35)</f>
        <v/>
      </c>
      <c r="D31" s="51" t="str">
        <f>IF('2027'!$C$35="","",'2027'!$C$35)</f>
        <v/>
      </c>
      <c r="E31" s="51" t="str">
        <f>IF('2027'!$D$35="","",'2027'!$D$35)</f>
        <v/>
      </c>
      <c r="F31" s="51" t="str">
        <f>IF('2027'!$E$35="","",'2027'!$E$35)</f>
        <v/>
      </c>
      <c r="G31" s="51" t="str">
        <f>IF('2027'!$F$35="","",'2027'!$F$35)</f>
        <v/>
      </c>
      <c r="H31" s="57" t="str">
        <f>IF('2027'!$H$35="","",'2027'!$H$35)</f>
        <v/>
      </c>
      <c r="I31" s="58"/>
      <c r="J31" s="51" t="str">
        <f>IF('2027'!$I$35="","",'2027'!$I$35)</f>
        <v/>
      </c>
      <c r="K31" s="51" t="str">
        <f t="shared" si="2"/>
        <v/>
      </c>
      <c r="L31" s="51" t="str">
        <f>IF('2027'!$J$35="","",'2027'!$J$35)</f>
        <v/>
      </c>
      <c r="M31" s="60" t="str">
        <f>IF('2027'!$K$35="","",'2027'!$K$35)</f>
        <v/>
      </c>
      <c r="N31" s="60" t="str">
        <f>IF('2027'!$L$35="","",'2027'!$L$35)</f>
        <v/>
      </c>
      <c r="O31" s="58" t="str">
        <f t="shared" si="3"/>
        <v/>
      </c>
      <c r="P31" s="58"/>
      <c r="Q31" s="51" t="str">
        <f t="shared" si="4"/>
        <v/>
      </c>
      <c r="R31" s="51" t="str">
        <f t="shared" si="5"/>
        <v/>
      </c>
      <c r="S31" s="58" t="str">
        <f t="shared" si="6"/>
        <v/>
      </c>
      <c r="T31" s="51" t="str">
        <f t="shared" si="7"/>
        <v/>
      </c>
      <c r="U31" s="50" t="str">
        <f t="shared" si="8"/>
        <v/>
      </c>
      <c r="V31" s="58" t="str">
        <f>IF('2027'!$G$35="","",'2027'!$G$35)</f>
        <v/>
      </c>
      <c r="W31" s="58"/>
      <c r="X31" s="51" t="str">
        <f t="shared" si="9"/>
        <v/>
      </c>
      <c r="Y31" s="51" t="str">
        <f t="shared" si="10"/>
        <v/>
      </c>
      <c r="Z31" s="80" t="str">
        <f t="shared" si="11"/>
        <v/>
      </c>
      <c r="AA31" s="60"/>
      <c r="AB31" s="51" t="str">
        <f t="shared" si="12"/>
        <v/>
      </c>
      <c r="AC31" s="58" t="str">
        <f t="shared" si="13"/>
        <v/>
      </c>
      <c r="AD31" s="80" t="str">
        <f>IF('2027'!$M$35="","",'2027'!$M$35)</f>
        <v/>
      </c>
      <c r="AE31" s="49" t="str">
        <f>IF('2027'!$N$35="","",'2027'!$N$35)</f>
        <v/>
      </c>
      <c r="AF31" s="80">
        <f>IF('2027'!$O$35="","",'2027'!$O$35)</f>
        <v>0</v>
      </c>
      <c r="AG31" s="86"/>
      <c r="AH31" s="86"/>
      <c r="AI31" s="80" t="str">
        <f>IF('2027'!$Q$35="","",'2027'!$Q$35)</f>
        <v/>
      </c>
      <c r="AJ31" s="80" t="str">
        <f t="shared" si="14"/>
        <v/>
      </c>
      <c r="AK31" s="80" t="str">
        <f t="shared" si="15"/>
        <v/>
      </c>
      <c r="AL31" s="80">
        <f>IF('2027'!$R$35="","",'2027'!$R$35)</f>
        <v>0</v>
      </c>
      <c r="AM31" s="89">
        <f t="shared" ref="AM31:AN31" si="68">IFERROR(AI31-AJ31,0)</f>
        <v>0</v>
      </c>
      <c r="AN31" s="89">
        <f t="shared" si="68"/>
        <v>0</v>
      </c>
      <c r="AO31" s="91">
        <f>IF('2027'!$S$35="","",'2027'!$S$35)</f>
        <v>0</v>
      </c>
      <c r="AP31" s="92">
        <f t="shared" si="17"/>
        <v>0</v>
      </c>
      <c r="AQ31" s="86" t="str">
        <f t="shared" si="18"/>
        <v/>
      </c>
      <c r="AR31" s="80" t="str">
        <f>IF('2027'!$T$35="","",'2027'!$T$35)</f>
        <v/>
      </c>
      <c r="AS31" s="80">
        <f>IF('2027'!$U$35="","",'2027'!$U$35)</f>
        <v>0</v>
      </c>
      <c r="AT31" s="86" t="str">
        <f t="shared" si="19"/>
        <v/>
      </c>
      <c r="AU31" s="86"/>
      <c r="AV31" s="96" t="str">
        <f t="shared" si="20"/>
        <v/>
      </c>
      <c r="AW31" s="97" t="str">
        <f t="shared" si="21"/>
        <v/>
      </c>
      <c r="AX31" s="97" t="str">
        <f t="shared" si="22"/>
        <v/>
      </c>
      <c r="AY31" s="60" t="str">
        <f t="shared" si="23"/>
        <v/>
      </c>
      <c r="AZ31" s="97" t="str">
        <f t="shared" si="24"/>
        <v/>
      </c>
      <c r="BA31" s="49" t="str">
        <f t="shared" si="25"/>
        <v/>
      </c>
      <c r="BB31" s="80" t="str">
        <f t="shared" si="26"/>
        <v/>
      </c>
      <c r="BC31" s="80" t="str">
        <f t="shared" si="27"/>
        <v/>
      </c>
      <c r="BD31" s="89">
        <f t="shared" si="28"/>
        <v>0</v>
      </c>
      <c r="BE31" s="60" t="str">
        <f t="shared" si="29"/>
        <v/>
      </c>
      <c r="BF31" s="102" t="str">
        <f t="shared" si="30"/>
        <v/>
      </c>
      <c r="BG31" s="103">
        <f t="shared" si="31"/>
        <v>-46258</v>
      </c>
      <c r="BH31" s="104" t="str">
        <f t="shared" si="32"/>
        <v/>
      </c>
      <c r="BI31" s="104" t="str">
        <f t="shared" si="33"/>
        <v/>
      </c>
      <c r="BJ31" s="104" t="str">
        <f t="shared" si="34"/>
        <v/>
      </c>
      <c r="BK31" s="104" t="str">
        <f t="shared" si="35"/>
        <v/>
      </c>
      <c r="BL31" s="104" t="str">
        <f t="shared" si="36"/>
        <v/>
      </c>
      <c r="BM31" s="57" t="str">
        <f>IF('2027'!$V$35="","",'2027'!$V$35)</f>
        <v/>
      </c>
      <c r="BN31" s="80" t="str">
        <f t="shared" si="37"/>
        <v/>
      </c>
      <c r="BO31" s="80" t="str">
        <f t="shared" si="38"/>
        <v/>
      </c>
      <c r="BP31" s="80" t="str">
        <f t="shared" si="39"/>
        <v/>
      </c>
      <c r="BQ31" s="80" t="str">
        <f t="shared" si="40"/>
        <v/>
      </c>
      <c r="BR31" s="80" t="str">
        <f t="shared" si="41"/>
        <v/>
      </c>
      <c r="BS31" s="116" t="str">
        <f t="shared" si="42"/>
        <v/>
      </c>
    </row>
    <row r="32" ht="15.0" customHeight="1">
      <c r="A32" s="49" t="str">
        <f>IF('2027'!$E$36="","",'2027'!$E$36)</f>
        <v/>
      </c>
      <c r="B32" s="50"/>
      <c r="C32" s="51" t="str">
        <f>IF('2027'!$B$36="","",'2027'!$B$36)</f>
        <v/>
      </c>
      <c r="D32" s="51" t="str">
        <f>IF('2027'!$C$36="","",'2027'!$C$36)</f>
        <v/>
      </c>
      <c r="E32" s="51" t="str">
        <f>IF('2027'!$D$36="","",'2027'!$D$36)</f>
        <v/>
      </c>
      <c r="F32" s="51" t="str">
        <f>IF('2027'!$E$36="","",'2027'!$E$36)</f>
        <v/>
      </c>
      <c r="G32" s="51" t="str">
        <f>IF('2027'!$F$36="","",'2027'!$F$36)</f>
        <v/>
      </c>
      <c r="H32" s="57" t="str">
        <f>IF('2027'!$H$36="","",'2027'!$H$36)</f>
        <v/>
      </c>
      <c r="I32" s="58"/>
      <c r="J32" s="51" t="str">
        <f>IF('2027'!$I$36="","",'2027'!$I$36)</f>
        <v/>
      </c>
      <c r="K32" s="51" t="str">
        <f t="shared" si="2"/>
        <v/>
      </c>
      <c r="L32" s="51" t="str">
        <f>IF('2027'!$J$36="","",'2027'!$J$36)</f>
        <v/>
      </c>
      <c r="M32" s="60" t="str">
        <f>IF('2027'!$K$36="","",'2027'!$K$36)</f>
        <v/>
      </c>
      <c r="N32" s="60" t="str">
        <f>IF('2027'!$L$36="","",'2027'!$L$36)</f>
        <v/>
      </c>
      <c r="O32" s="58" t="str">
        <f t="shared" si="3"/>
        <v/>
      </c>
      <c r="P32" s="58"/>
      <c r="Q32" s="51" t="str">
        <f t="shared" si="4"/>
        <v/>
      </c>
      <c r="R32" s="51" t="str">
        <f t="shared" si="5"/>
        <v/>
      </c>
      <c r="S32" s="58" t="str">
        <f t="shared" si="6"/>
        <v/>
      </c>
      <c r="T32" s="51" t="str">
        <f t="shared" si="7"/>
        <v/>
      </c>
      <c r="U32" s="50" t="str">
        <f t="shared" si="8"/>
        <v/>
      </c>
      <c r="V32" s="58" t="str">
        <f>IF('2027'!$G$36="","",'2027'!$G$36)</f>
        <v/>
      </c>
      <c r="W32" s="58"/>
      <c r="X32" s="51" t="str">
        <f t="shared" si="9"/>
        <v/>
      </c>
      <c r="Y32" s="51" t="str">
        <f t="shared" si="10"/>
        <v/>
      </c>
      <c r="Z32" s="80" t="str">
        <f t="shared" si="11"/>
        <v/>
      </c>
      <c r="AA32" s="60"/>
      <c r="AB32" s="51" t="str">
        <f t="shared" si="12"/>
        <v/>
      </c>
      <c r="AC32" s="58" t="str">
        <f t="shared" si="13"/>
        <v/>
      </c>
      <c r="AD32" s="80" t="str">
        <f>IF('2027'!$M$36="","",'2027'!$M$36)</f>
        <v/>
      </c>
      <c r="AE32" s="49" t="str">
        <f>IF('2027'!$N$36="","",'2027'!$N$36)</f>
        <v/>
      </c>
      <c r="AF32" s="80">
        <f>IF('2027'!$O$36="","",'2027'!$O$36)</f>
        <v>0</v>
      </c>
      <c r="AG32" s="86"/>
      <c r="AH32" s="86"/>
      <c r="AI32" s="80" t="str">
        <f>IF('2027'!$Q$36="","",'2027'!$Q$36)</f>
        <v/>
      </c>
      <c r="AJ32" s="80" t="str">
        <f t="shared" si="14"/>
        <v/>
      </c>
      <c r="AK32" s="80" t="str">
        <f t="shared" si="15"/>
        <v/>
      </c>
      <c r="AL32" s="80">
        <f>IF('2027'!$R$36="","",'2027'!$R$36)</f>
        <v>0</v>
      </c>
      <c r="AM32" s="89">
        <f t="shared" ref="AM32:AN32" si="69">IFERROR(AI32-AJ32,0)</f>
        <v>0</v>
      </c>
      <c r="AN32" s="89">
        <f t="shared" si="69"/>
        <v>0</v>
      </c>
      <c r="AO32" s="91">
        <f>IF('2027'!$S$36="","",'2027'!$S$36)</f>
        <v>0</v>
      </c>
      <c r="AP32" s="92">
        <f t="shared" si="17"/>
        <v>0</v>
      </c>
      <c r="AQ32" s="86" t="str">
        <f t="shared" si="18"/>
        <v/>
      </c>
      <c r="AR32" s="80" t="str">
        <f>IF('2027'!$T$36="","",'2027'!$T$36)</f>
        <v/>
      </c>
      <c r="AS32" s="80">
        <f>IF('2027'!$U$36="","",'2027'!$U$36)</f>
        <v>0</v>
      </c>
      <c r="AT32" s="86" t="str">
        <f t="shared" si="19"/>
        <v/>
      </c>
      <c r="AU32" s="86"/>
      <c r="AV32" s="96" t="str">
        <f t="shared" si="20"/>
        <v/>
      </c>
      <c r="AW32" s="97" t="str">
        <f t="shared" si="21"/>
        <v/>
      </c>
      <c r="AX32" s="97" t="str">
        <f t="shared" si="22"/>
        <v/>
      </c>
      <c r="AY32" s="60" t="str">
        <f t="shared" si="23"/>
        <v/>
      </c>
      <c r="AZ32" s="97" t="str">
        <f t="shared" si="24"/>
        <v/>
      </c>
      <c r="BA32" s="49" t="str">
        <f t="shared" si="25"/>
        <v/>
      </c>
      <c r="BB32" s="80" t="str">
        <f t="shared" si="26"/>
        <v/>
      </c>
      <c r="BC32" s="80" t="str">
        <f t="shared" si="27"/>
        <v/>
      </c>
      <c r="BD32" s="89">
        <f t="shared" si="28"/>
        <v>0</v>
      </c>
      <c r="BE32" s="60" t="str">
        <f t="shared" si="29"/>
        <v/>
      </c>
      <c r="BF32" s="102" t="str">
        <f t="shared" si="30"/>
        <v/>
      </c>
      <c r="BG32" s="103">
        <f t="shared" si="31"/>
        <v>-46258</v>
      </c>
      <c r="BH32" s="104" t="str">
        <f t="shared" si="32"/>
        <v/>
      </c>
      <c r="BI32" s="104" t="str">
        <f t="shared" si="33"/>
        <v/>
      </c>
      <c r="BJ32" s="104" t="str">
        <f t="shared" si="34"/>
        <v/>
      </c>
      <c r="BK32" s="104" t="str">
        <f t="shared" si="35"/>
        <v/>
      </c>
      <c r="BL32" s="104" t="str">
        <f t="shared" si="36"/>
        <v/>
      </c>
      <c r="BM32" s="57" t="str">
        <f>IF('2027'!$V$36="","",'2027'!$V$36)</f>
        <v/>
      </c>
      <c r="BN32" s="80" t="str">
        <f t="shared" si="37"/>
        <v/>
      </c>
      <c r="BO32" s="80" t="str">
        <f t="shared" si="38"/>
        <v/>
      </c>
      <c r="BP32" s="80" t="str">
        <f t="shared" si="39"/>
        <v/>
      </c>
      <c r="BQ32" s="80" t="str">
        <f t="shared" si="40"/>
        <v/>
      </c>
      <c r="BR32" s="80" t="str">
        <f t="shared" si="41"/>
        <v/>
      </c>
      <c r="BS32" s="116" t="str">
        <f t="shared" si="42"/>
        <v/>
      </c>
    </row>
    <row r="33" ht="15.0" customHeight="1">
      <c r="A33" s="49" t="str">
        <f>IF('2027'!$E$37="","",'2027'!$E$37)</f>
        <v/>
      </c>
      <c r="B33" s="50"/>
      <c r="C33" s="51" t="str">
        <f>IF('2027'!$B$37="","",'2027'!$B$37)</f>
        <v/>
      </c>
      <c r="D33" s="51" t="str">
        <f>IF('2027'!$C$37="","",'2027'!$C$37)</f>
        <v/>
      </c>
      <c r="E33" s="51" t="str">
        <f>IF('2027'!$D$37="","",'2027'!$D$37)</f>
        <v/>
      </c>
      <c r="F33" s="51" t="str">
        <f>IF('2027'!$E$37="","",'2027'!$E$37)</f>
        <v/>
      </c>
      <c r="G33" s="51" t="str">
        <f>IF('2027'!$F$37="","",'2027'!$F$37)</f>
        <v/>
      </c>
      <c r="H33" s="57" t="str">
        <f>IF('2027'!$H$37="","",'2027'!$H$37)</f>
        <v/>
      </c>
      <c r="I33" s="58"/>
      <c r="J33" s="51" t="str">
        <f>IF('2027'!$I$37="","",'2027'!$I$37)</f>
        <v/>
      </c>
      <c r="K33" s="51" t="str">
        <f t="shared" si="2"/>
        <v/>
      </c>
      <c r="L33" s="51" t="str">
        <f>IF('2027'!$J$37="","",'2027'!$J$37)</f>
        <v/>
      </c>
      <c r="M33" s="60" t="str">
        <f>IF('2027'!$K$37="","",'2027'!$K$37)</f>
        <v/>
      </c>
      <c r="N33" s="60" t="str">
        <f>IF('2027'!$L$37="","",'2027'!$L$37)</f>
        <v/>
      </c>
      <c r="O33" s="58" t="str">
        <f t="shared" si="3"/>
        <v/>
      </c>
      <c r="P33" s="58"/>
      <c r="Q33" s="51" t="str">
        <f t="shared" si="4"/>
        <v/>
      </c>
      <c r="R33" s="51" t="str">
        <f t="shared" si="5"/>
        <v/>
      </c>
      <c r="S33" s="58" t="str">
        <f t="shared" si="6"/>
        <v/>
      </c>
      <c r="T33" s="51" t="str">
        <f t="shared" si="7"/>
        <v/>
      </c>
      <c r="U33" s="50" t="str">
        <f t="shared" si="8"/>
        <v/>
      </c>
      <c r="V33" s="58" t="str">
        <f>IF('2027'!$G$37="","",'2027'!$G$37)</f>
        <v/>
      </c>
      <c r="W33" s="58"/>
      <c r="X33" s="51" t="str">
        <f t="shared" si="9"/>
        <v/>
      </c>
      <c r="Y33" s="51" t="str">
        <f t="shared" si="10"/>
        <v/>
      </c>
      <c r="Z33" s="80" t="str">
        <f t="shared" si="11"/>
        <v/>
      </c>
      <c r="AA33" s="60"/>
      <c r="AB33" s="51" t="str">
        <f t="shared" si="12"/>
        <v/>
      </c>
      <c r="AC33" s="58" t="str">
        <f t="shared" si="13"/>
        <v/>
      </c>
      <c r="AD33" s="80" t="str">
        <f>IF('2027'!$M$37="","",'2027'!$M$37)</f>
        <v/>
      </c>
      <c r="AE33" s="49" t="str">
        <f>IF('2027'!$N$37="","",'2027'!$N$37)</f>
        <v/>
      </c>
      <c r="AF33" s="80">
        <f>IF('2027'!$O$37="","",'2027'!$O$37)</f>
        <v>0</v>
      </c>
      <c r="AG33" s="86"/>
      <c r="AH33" s="86"/>
      <c r="AI33" s="80" t="str">
        <f>IF('2027'!$Q$37="","",'2027'!$Q$37)</f>
        <v/>
      </c>
      <c r="AJ33" s="80" t="str">
        <f t="shared" si="14"/>
        <v/>
      </c>
      <c r="AK33" s="80" t="str">
        <f t="shared" si="15"/>
        <v/>
      </c>
      <c r="AL33" s="80">
        <f>IF('2027'!$R$37="","",'2027'!$R$37)</f>
        <v>0</v>
      </c>
      <c r="AM33" s="89">
        <f t="shared" ref="AM33:AN33" si="70">IFERROR(AI33-AJ33,0)</f>
        <v>0</v>
      </c>
      <c r="AN33" s="89">
        <f t="shared" si="70"/>
        <v>0</v>
      </c>
      <c r="AO33" s="91">
        <f>IF('2027'!$S$37="","",'2027'!$S$37)</f>
        <v>0</v>
      </c>
      <c r="AP33" s="92">
        <f t="shared" si="17"/>
        <v>0</v>
      </c>
      <c r="AQ33" s="86" t="str">
        <f t="shared" si="18"/>
        <v/>
      </c>
      <c r="AR33" s="80" t="str">
        <f>IF('2027'!$T$37="","",'2027'!$T$37)</f>
        <v/>
      </c>
      <c r="AS33" s="80">
        <f>IF('2027'!$U$37="","",'2027'!$U$37)</f>
        <v>0</v>
      </c>
      <c r="AT33" s="86" t="str">
        <f t="shared" si="19"/>
        <v/>
      </c>
      <c r="AU33" s="86"/>
      <c r="AV33" s="96" t="str">
        <f t="shared" si="20"/>
        <v/>
      </c>
      <c r="AW33" s="97" t="str">
        <f t="shared" si="21"/>
        <v/>
      </c>
      <c r="AX33" s="97" t="str">
        <f t="shared" si="22"/>
        <v/>
      </c>
      <c r="AY33" s="60" t="str">
        <f t="shared" si="23"/>
        <v/>
      </c>
      <c r="AZ33" s="97" t="str">
        <f t="shared" si="24"/>
        <v/>
      </c>
      <c r="BA33" s="49" t="str">
        <f t="shared" si="25"/>
        <v/>
      </c>
      <c r="BB33" s="80" t="str">
        <f t="shared" si="26"/>
        <v/>
      </c>
      <c r="BC33" s="80" t="str">
        <f t="shared" si="27"/>
        <v/>
      </c>
      <c r="BD33" s="89">
        <f t="shared" si="28"/>
        <v>0</v>
      </c>
      <c r="BE33" s="60" t="str">
        <f t="shared" si="29"/>
        <v/>
      </c>
      <c r="BF33" s="102" t="str">
        <f t="shared" si="30"/>
        <v/>
      </c>
      <c r="BG33" s="103">
        <f t="shared" si="31"/>
        <v>-46258</v>
      </c>
      <c r="BH33" s="104" t="str">
        <f t="shared" si="32"/>
        <v/>
      </c>
      <c r="BI33" s="104" t="str">
        <f t="shared" si="33"/>
        <v/>
      </c>
      <c r="BJ33" s="104" t="str">
        <f t="shared" si="34"/>
        <v/>
      </c>
      <c r="BK33" s="104" t="str">
        <f t="shared" si="35"/>
        <v/>
      </c>
      <c r="BL33" s="104" t="str">
        <f t="shared" si="36"/>
        <v/>
      </c>
      <c r="BM33" s="57" t="str">
        <f>IF('2027'!$V$37="","",'2027'!$V$37)</f>
        <v/>
      </c>
      <c r="BN33" s="80" t="str">
        <f t="shared" si="37"/>
        <v/>
      </c>
      <c r="BO33" s="80" t="str">
        <f t="shared" si="38"/>
        <v/>
      </c>
      <c r="BP33" s="80" t="str">
        <f t="shared" si="39"/>
        <v/>
      </c>
      <c r="BQ33" s="80" t="str">
        <f t="shared" si="40"/>
        <v/>
      </c>
      <c r="BR33" s="80" t="str">
        <f t="shared" si="41"/>
        <v/>
      </c>
      <c r="BS33" s="116" t="str">
        <f t="shared" si="42"/>
        <v/>
      </c>
    </row>
    <row r="34" ht="15.0" customHeight="1">
      <c r="A34" s="49" t="str">
        <f>IF('2027'!$E$38="","",'2027'!$E$38)</f>
        <v/>
      </c>
      <c r="B34" s="50"/>
      <c r="C34" s="51" t="str">
        <f>IF('2027'!$B$38="","",'2027'!$B$38)</f>
        <v/>
      </c>
      <c r="D34" s="51" t="str">
        <f>IF('2027'!$C$38="","",'2027'!$C$38)</f>
        <v/>
      </c>
      <c r="E34" s="51" t="str">
        <f>IF('2027'!$D$38="","",'2027'!$D$38)</f>
        <v/>
      </c>
      <c r="F34" s="51" t="str">
        <f>IF('2027'!$E$38="","",'2027'!$E$38)</f>
        <v/>
      </c>
      <c r="G34" s="51" t="str">
        <f>IF('2027'!$F$38="","",'2027'!$F$38)</f>
        <v/>
      </c>
      <c r="H34" s="57" t="str">
        <f>IF('2027'!$H$38="","",'2027'!$H$38)</f>
        <v/>
      </c>
      <c r="I34" s="58"/>
      <c r="J34" s="51" t="str">
        <f>IF('2027'!$I$38="","",'2027'!$I$38)</f>
        <v/>
      </c>
      <c r="K34" s="51" t="str">
        <f t="shared" si="2"/>
        <v/>
      </c>
      <c r="L34" s="51" t="str">
        <f>IF('2027'!$J$38="","",'2027'!$J$38)</f>
        <v/>
      </c>
      <c r="M34" s="60" t="str">
        <f>IF('2027'!$K$38="","",'2027'!$K$38)</f>
        <v/>
      </c>
      <c r="N34" s="60" t="str">
        <f>IF('2027'!$L$38="","",'2027'!$L$38)</f>
        <v/>
      </c>
      <c r="O34" s="58" t="str">
        <f t="shared" si="3"/>
        <v/>
      </c>
      <c r="P34" s="58"/>
      <c r="Q34" s="51" t="str">
        <f t="shared" si="4"/>
        <v/>
      </c>
      <c r="R34" s="51" t="str">
        <f t="shared" si="5"/>
        <v/>
      </c>
      <c r="S34" s="58" t="str">
        <f t="shared" si="6"/>
        <v/>
      </c>
      <c r="T34" s="51" t="str">
        <f t="shared" si="7"/>
        <v/>
      </c>
      <c r="U34" s="50" t="str">
        <f t="shared" si="8"/>
        <v/>
      </c>
      <c r="V34" s="58" t="str">
        <f>IF('2027'!$G$38="","",'2027'!$G$38)</f>
        <v/>
      </c>
      <c r="W34" s="58"/>
      <c r="X34" s="51" t="str">
        <f t="shared" si="9"/>
        <v/>
      </c>
      <c r="Y34" s="51" t="str">
        <f t="shared" si="10"/>
        <v/>
      </c>
      <c r="Z34" s="80" t="str">
        <f t="shared" si="11"/>
        <v/>
      </c>
      <c r="AA34" s="60"/>
      <c r="AB34" s="51" t="str">
        <f t="shared" si="12"/>
        <v/>
      </c>
      <c r="AC34" s="58" t="str">
        <f t="shared" si="13"/>
        <v/>
      </c>
      <c r="AD34" s="80" t="str">
        <f>IF('2027'!$M$38="","",'2027'!$M$38)</f>
        <v/>
      </c>
      <c r="AE34" s="49" t="str">
        <f>IF('2027'!$N$38="","",'2027'!$N$38)</f>
        <v/>
      </c>
      <c r="AF34" s="80">
        <f>IF('2027'!$O$38="","",'2027'!$O$38)</f>
        <v>0</v>
      </c>
      <c r="AG34" s="86"/>
      <c r="AH34" s="86"/>
      <c r="AI34" s="80" t="str">
        <f>IF('2027'!$Q$38="","",'2027'!$Q$38)</f>
        <v/>
      </c>
      <c r="AJ34" s="80" t="str">
        <f t="shared" si="14"/>
        <v/>
      </c>
      <c r="AK34" s="80" t="str">
        <f t="shared" si="15"/>
        <v/>
      </c>
      <c r="AL34" s="80">
        <f>IF('2027'!$R$38="","",'2027'!$R$38)</f>
        <v>0</v>
      </c>
      <c r="AM34" s="89">
        <f t="shared" ref="AM34:AN34" si="71">IFERROR(AI34-AJ34,0)</f>
        <v>0</v>
      </c>
      <c r="AN34" s="89">
        <f t="shared" si="71"/>
        <v>0</v>
      </c>
      <c r="AO34" s="91">
        <f>IF('2027'!$S$38="","",'2027'!$S$38)</f>
        <v>0</v>
      </c>
      <c r="AP34" s="92">
        <f t="shared" si="17"/>
        <v>0</v>
      </c>
      <c r="AQ34" s="86" t="str">
        <f t="shared" si="18"/>
        <v/>
      </c>
      <c r="AR34" s="80" t="str">
        <f>IF('2027'!$T$38="","",'2027'!$T$38)</f>
        <v/>
      </c>
      <c r="AS34" s="80">
        <f>IF('2027'!$U$38="","",'2027'!$U$38)</f>
        <v>0</v>
      </c>
      <c r="AT34" s="86" t="str">
        <f t="shared" si="19"/>
        <v/>
      </c>
      <c r="AU34" s="86"/>
      <c r="AV34" s="96" t="str">
        <f t="shared" si="20"/>
        <v/>
      </c>
      <c r="AW34" s="97" t="str">
        <f t="shared" si="21"/>
        <v/>
      </c>
      <c r="AX34" s="97" t="str">
        <f t="shared" si="22"/>
        <v/>
      </c>
      <c r="AY34" s="60" t="str">
        <f t="shared" si="23"/>
        <v/>
      </c>
      <c r="AZ34" s="97" t="str">
        <f t="shared" si="24"/>
        <v/>
      </c>
      <c r="BA34" s="49" t="str">
        <f t="shared" si="25"/>
        <v/>
      </c>
      <c r="BB34" s="80" t="str">
        <f t="shared" si="26"/>
        <v/>
      </c>
      <c r="BC34" s="80" t="str">
        <f t="shared" si="27"/>
        <v/>
      </c>
      <c r="BD34" s="89">
        <f t="shared" si="28"/>
        <v>0</v>
      </c>
      <c r="BE34" s="60" t="str">
        <f t="shared" si="29"/>
        <v/>
      </c>
      <c r="BF34" s="102" t="str">
        <f t="shared" si="30"/>
        <v/>
      </c>
      <c r="BG34" s="103">
        <f t="shared" si="31"/>
        <v>-46258</v>
      </c>
      <c r="BH34" s="104" t="str">
        <f t="shared" si="32"/>
        <v/>
      </c>
      <c r="BI34" s="104" t="str">
        <f t="shared" si="33"/>
        <v/>
      </c>
      <c r="BJ34" s="104" t="str">
        <f t="shared" si="34"/>
        <v/>
      </c>
      <c r="BK34" s="104" t="str">
        <f t="shared" si="35"/>
        <v/>
      </c>
      <c r="BL34" s="104" t="str">
        <f t="shared" si="36"/>
        <v/>
      </c>
      <c r="BM34" s="57" t="str">
        <f>IF('2027'!$V$38="","",'2027'!$V$38)</f>
        <v/>
      </c>
      <c r="BN34" s="80" t="str">
        <f t="shared" si="37"/>
        <v/>
      </c>
      <c r="BO34" s="80" t="str">
        <f t="shared" si="38"/>
        <v/>
      </c>
      <c r="BP34" s="80" t="str">
        <f t="shared" si="39"/>
        <v/>
      </c>
      <c r="BQ34" s="80" t="str">
        <f t="shared" si="40"/>
        <v/>
      </c>
      <c r="BR34" s="80" t="str">
        <f t="shared" si="41"/>
        <v/>
      </c>
      <c r="BS34" s="116" t="str">
        <f t="shared" si="42"/>
        <v/>
      </c>
    </row>
    <row r="35" ht="15.0" customHeight="1">
      <c r="A35" s="49" t="str">
        <f>IF('2027'!$E$39="","",'2027'!$E$39)</f>
        <v/>
      </c>
      <c r="B35" s="50"/>
      <c r="C35" s="51" t="str">
        <f>IF('2027'!$B$39="","",'2027'!$B$39)</f>
        <v/>
      </c>
      <c r="D35" s="51" t="str">
        <f>IF('2027'!$C$39="","",'2027'!$C$39)</f>
        <v/>
      </c>
      <c r="E35" s="51" t="str">
        <f>IF('2027'!$D$39="","",'2027'!$D$39)</f>
        <v/>
      </c>
      <c r="F35" s="51" t="str">
        <f>IF('2027'!$E$39="","",'2027'!$E$39)</f>
        <v/>
      </c>
      <c r="G35" s="51" t="str">
        <f>IF('2027'!$F$39="","",'2027'!$F$39)</f>
        <v/>
      </c>
      <c r="H35" s="57" t="str">
        <f>IF('2027'!$H$39="","",'2027'!$H$39)</f>
        <v/>
      </c>
      <c r="I35" s="58"/>
      <c r="J35" s="51" t="str">
        <f>IF('2027'!$I$39="","",'2027'!$I$39)</f>
        <v/>
      </c>
      <c r="K35" s="51" t="str">
        <f t="shared" si="2"/>
        <v/>
      </c>
      <c r="L35" s="51" t="str">
        <f>IF('2027'!$J$39="","",'2027'!$J$39)</f>
        <v/>
      </c>
      <c r="M35" s="60" t="str">
        <f>IF('2027'!$K$39="","",'2027'!$K$39)</f>
        <v/>
      </c>
      <c r="N35" s="60" t="str">
        <f>IF('2027'!$L$39="","",'2027'!$L$39)</f>
        <v/>
      </c>
      <c r="O35" s="58" t="str">
        <f t="shared" si="3"/>
        <v/>
      </c>
      <c r="P35" s="58"/>
      <c r="Q35" s="51" t="str">
        <f t="shared" si="4"/>
        <v/>
      </c>
      <c r="R35" s="51" t="str">
        <f t="shared" si="5"/>
        <v/>
      </c>
      <c r="S35" s="58" t="str">
        <f t="shared" si="6"/>
        <v/>
      </c>
      <c r="T35" s="51" t="str">
        <f t="shared" si="7"/>
        <v/>
      </c>
      <c r="U35" s="50" t="str">
        <f t="shared" si="8"/>
        <v/>
      </c>
      <c r="V35" s="58" t="str">
        <f>IF('2027'!$G$39="","",'2027'!$G$39)</f>
        <v/>
      </c>
      <c r="W35" s="58"/>
      <c r="X35" s="51" t="str">
        <f t="shared" si="9"/>
        <v/>
      </c>
      <c r="Y35" s="51" t="str">
        <f t="shared" si="10"/>
        <v/>
      </c>
      <c r="Z35" s="80" t="str">
        <f t="shared" si="11"/>
        <v/>
      </c>
      <c r="AA35" s="60"/>
      <c r="AB35" s="51" t="str">
        <f t="shared" si="12"/>
        <v/>
      </c>
      <c r="AC35" s="58" t="str">
        <f t="shared" si="13"/>
        <v/>
      </c>
      <c r="AD35" s="80" t="str">
        <f>IF('2027'!$M$39="","",'2027'!$M$39)</f>
        <v/>
      </c>
      <c r="AE35" s="49" t="str">
        <f>IF('2027'!$N$39="","",'2027'!$N$39)</f>
        <v/>
      </c>
      <c r="AF35" s="80">
        <f>IF('2027'!$O$39="","",'2027'!$O$39)</f>
        <v>0</v>
      </c>
      <c r="AG35" s="86"/>
      <c r="AH35" s="86"/>
      <c r="AI35" s="80" t="str">
        <f>IF('2027'!$Q$39="","",'2027'!$Q$39)</f>
        <v/>
      </c>
      <c r="AJ35" s="80" t="str">
        <f t="shared" si="14"/>
        <v/>
      </c>
      <c r="AK35" s="80" t="str">
        <f t="shared" si="15"/>
        <v/>
      </c>
      <c r="AL35" s="80">
        <f>IF('2027'!$R$39="","",'2027'!$R$39)</f>
        <v>0</v>
      </c>
      <c r="AM35" s="89">
        <f t="shared" ref="AM35:AN35" si="72">IFERROR(AI35-AJ35,0)</f>
        <v>0</v>
      </c>
      <c r="AN35" s="89">
        <f t="shared" si="72"/>
        <v>0</v>
      </c>
      <c r="AO35" s="91">
        <f>IF('2027'!$S$39="","",'2027'!$S$39)</f>
        <v>0</v>
      </c>
      <c r="AP35" s="92">
        <f t="shared" si="17"/>
        <v>0</v>
      </c>
      <c r="AQ35" s="86" t="str">
        <f t="shared" si="18"/>
        <v/>
      </c>
      <c r="AR35" s="80" t="str">
        <f>IF('2027'!$T$39="","",'2027'!$T$39)</f>
        <v/>
      </c>
      <c r="AS35" s="80">
        <f>IF('2027'!$U$39="","",'2027'!$U$39)</f>
        <v>0</v>
      </c>
      <c r="AT35" s="86" t="str">
        <f t="shared" si="19"/>
        <v/>
      </c>
      <c r="AU35" s="86"/>
      <c r="AV35" s="96" t="str">
        <f t="shared" si="20"/>
        <v/>
      </c>
      <c r="AW35" s="97" t="str">
        <f t="shared" si="21"/>
        <v/>
      </c>
      <c r="AX35" s="97" t="str">
        <f t="shared" si="22"/>
        <v/>
      </c>
      <c r="AY35" s="60" t="str">
        <f t="shared" si="23"/>
        <v/>
      </c>
      <c r="AZ35" s="97" t="str">
        <f t="shared" si="24"/>
        <v/>
      </c>
      <c r="BA35" s="49" t="str">
        <f t="shared" si="25"/>
        <v/>
      </c>
      <c r="BB35" s="80" t="str">
        <f t="shared" si="26"/>
        <v/>
      </c>
      <c r="BC35" s="80" t="str">
        <f t="shared" si="27"/>
        <v/>
      </c>
      <c r="BD35" s="89">
        <f t="shared" si="28"/>
        <v>0</v>
      </c>
      <c r="BE35" s="60" t="str">
        <f t="shared" si="29"/>
        <v/>
      </c>
      <c r="BF35" s="102" t="str">
        <f t="shared" si="30"/>
        <v/>
      </c>
      <c r="BG35" s="103">
        <f t="shared" si="31"/>
        <v>-46258</v>
      </c>
      <c r="BH35" s="104" t="str">
        <f t="shared" si="32"/>
        <v/>
      </c>
      <c r="BI35" s="104" t="str">
        <f t="shared" si="33"/>
        <v/>
      </c>
      <c r="BJ35" s="104" t="str">
        <f t="shared" si="34"/>
        <v/>
      </c>
      <c r="BK35" s="104" t="str">
        <f t="shared" si="35"/>
        <v/>
      </c>
      <c r="BL35" s="104" t="str">
        <f t="shared" si="36"/>
        <v/>
      </c>
      <c r="BM35" s="57" t="str">
        <f>IF('2027'!$V$39="","",'2027'!$V$39)</f>
        <v/>
      </c>
      <c r="BN35" s="80" t="str">
        <f t="shared" si="37"/>
        <v/>
      </c>
      <c r="BO35" s="80" t="str">
        <f t="shared" si="38"/>
        <v/>
      </c>
      <c r="BP35" s="80" t="str">
        <f t="shared" si="39"/>
        <v/>
      </c>
      <c r="BQ35" s="80" t="str">
        <f t="shared" si="40"/>
        <v/>
      </c>
      <c r="BR35" s="80" t="str">
        <f t="shared" si="41"/>
        <v/>
      </c>
      <c r="BS35" s="116" t="str">
        <f t="shared" si="42"/>
        <v/>
      </c>
    </row>
    <row r="36" ht="15.0" customHeight="1">
      <c r="A36" s="49" t="str">
        <f>IF('2027'!$E$40="","",'2027'!$E$40)</f>
        <v/>
      </c>
      <c r="B36" s="50"/>
      <c r="C36" s="51" t="str">
        <f>IF('2027'!$B$40="","",'2027'!$B$40)</f>
        <v/>
      </c>
      <c r="D36" s="51" t="str">
        <f>IF('2027'!$C$40="","",'2027'!$C$40)</f>
        <v/>
      </c>
      <c r="E36" s="51" t="str">
        <f>IF('2027'!$D$40="","",'2027'!$D$40)</f>
        <v/>
      </c>
      <c r="F36" s="51" t="str">
        <f>IF('2027'!$E$40="","",'2027'!$E$40)</f>
        <v/>
      </c>
      <c r="G36" s="51" t="str">
        <f>IF('2027'!$F$40="","",'2027'!$F$40)</f>
        <v/>
      </c>
      <c r="H36" s="57" t="str">
        <f>IF('2027'!$H$40="","",'2027'!$H$40)</f>
        <v/>
      </c>
      <c r="I36" s="58"/>
      <c r="J36" s="51" t="str">
        <f>IF('2027'!$I$40="","",'2027'!$I$40)</f>
        <v/>
      </c>
      <c r="K36" s="51" t="str">
        <f t="shared" si="2"/>
        <v/>
      </c>
      <c r="L36" s="51" t="str">
        <f>IF('2027'!$J$40="","",'2027'!$J$40)</f>
        <v/>
      </c>
      <c r="M36" s="60" t="str">
        <f>IF('2027'!$K$40="","",'2027'!$K$40)</f>
        <v/>
      </c>
      <c r="N36" s="60" t="str">
        <f>IF('2027'!$L$40="","",'2027'!$L$40)</f>
        <v/>
      </c>
      <c r="O36" s="58" t="str">
        <f t="shared" si="3"/>
        <v/>
      </c>
      <c r="P36" s="58"/>
      <c r="Q36" s="51" t="str">
        <f t="shared" si="4"/>
        <v/>
      </c>
      <c r="R36" s="51" t="str">
        <f t="shared" si="5"/>
        <v/>
      </c>
      <c r="S36" s="58" t="str">
        <f t="shared" si="6"/>
        <v/>
      </c>
      <c r="T36" s="51" t="str">
        <f t="shared" si="7"/>
        <v/>
      </c>
      <c r="U36" s="50" t="str">
        <f t="shared" si="8"/>
        <v/>
      </c>
      <c r="V36" s="58" t="str">
        <f>IF('2027'!$G$40="","",'2027'!$G$40)</f>
        <v/>
      </c>
      <c r="W36" s="58"/>
      <c r="X36" s="51" t="str">
        <f t="shared" si="9"/>
        <v/>
      </c>
      <c r="Y36" s="51" t="str">
        <f t="shared" si="10"/>
        <v/>
      </c>
      <c r="Z36" s="80" t="str">
        <f t="shared" si="11"/>
        <v/>
      </c>
      <c r="AA36" s="60"/>
      <c r="AB36" s="51" t="str">
        <f t="shared" si="12"/>
        <v/>
      </c>
      <c r="AC36" s="58" t="str">
        <f t="shared" si="13"/>
        <v/>
      </c>
      <c r="AD36" s="80" t="str">
        <f>IF('2027'!$M$40="","",'2027'!$M$40)</f>
        <v/>
      </c>
      <c r="AE36" s="49" t="str">
        <f>IF('2027'!$N$40="","",'2027'!$N$40)</f>
        <v/>
      </c>
      <c r="AF36" s="80">
        <f>IF('2027'!$O$40="","",'2027'!$O$40)</f>
        <v>0</v>
      </c>
      <c r="AG36" s="86"/>
      <c r="AH36" s="86"/>
      <c r="AI36" s="80" t="str">
        <f>IF('2027'!$Q$40="","",'2027'!$Q$40)</f>
        <v/>
      </c>
      <c r="AJ36" s="80" t="str">
        <f t="shared" si="14"/>
        <v/>
      </c>
      <c r="AK36" s="80" t="str">
        <f t="shared" si="15"/>
        <v/>
      </c>
      <c r="AL36" s="80">
        <f>IF('2027'!$R$40="","",'2027'!$R$40)</f>
        <v>0</v>
      </c>
      <c r="AM36" s="89">
        <f t="shared" ref="AM36:AN36" si="73">IFERROR(AI36-AJ36,0)</f>
        <v>0</v>
      </c>
      <c r="AN36" s="89">
        <f t="shared" si="73"/>
        <v>0</v>
      </c>
      <c r="AO36" s="91">
        <f>IF('2027'!$S$40="","",'2027'!$S$40)</f>
        <v>0</v>
      </c>
      <c r="AP36" s="92">
        <f t="shared" si="17"/>
        <v>0</v>
      </c>
      <c r="AQ36" s="86" t="str">
        <f t="shared" si="18"/>
        <v/>
      </c>
      <c r="AR36" s="80" t="str">
        <f>IF('2027'!$T$40="","",'2027'!$T$40)</f>
        <v/>
      </c>
      <c r="AS36" s="80">
        <f>IF('2027'!$U$40="","",'2027'!$U$40)</f>
        <v>0</v>
      </c>
      <c r="AT36" s="86" t="str">
        <f t="shared" si="19"/>
        <v/>
      </c>
      <c r="AU36" s="86"/>
      <c r="AV36" s="96" t="str">
        <f t="shared" si="20"/>
        <v/>
      </c>
      <c r="AW36" s="97" t="str">
        <f t="shared" si="21"/>
        <v/>
      </c>
      <c r="AX36" s="97" t="str">
        <f t="shared" si="22"/>
        <v/>
      </c>
      <c r="AY36" s="60" t="str">
        <f t="shared" si="23"/>
        <v/>
      </c>
      <c r="AZ36" s="97" t="str">
        <f t="shared" si="24"/>
        <v/>
      </c>
      <c r="BA36" s="49" t="str">
        <f t="shared" si="25"/>
        <v/>
      </c>
      <c r="BB36" s="80" t="str">
        <f t="shared" si="26"/>
        <v/>
      </c>
      <c r="BC36" s="80" t="str">
        <f t="shared" si="27"/>
        <v/>
      </c>
      <c r="BD36" s="89">
        <f t="shared" si="28"/>
        <v>0</v>
      </c>
      <c r="BE36" s="60" t="str">
        <f t="shared" si="29"/>
        <v/>
      </c>
      <c r="BF36" s="102" t="str">
        <f t="shared" si="30"/>
        <v/>
      </c>
      <c r="BG36" s="103">
        <f t="shared" si="31"/>
        <v>-46258</v>
      </c>
      <c r="BH36" s="104" t="str">
        <f t="shared" si="32"/>
        <v/>
      </c>
      <c r="BI36" s="104" t="str">
        <f t="shared" si="33"/>
        <v/>
      </c>
      <c r="BJ36" s="104" t="str">
        <f t="shared" si="34"/>
        <v/>
      </c>
      <c r="BK36" s="104" t="str">
        <f t="shared" si="35"/>
        <v/>
      </c>
      <c r="BL36" s="104" t="str">
        <f t="shared" si="36"/>
        <v/>
      </c>
      <c r="BM36" s="57" t="str">
        <f>IF('2027'!$V$40="","",'2027'!$V$40)</f>
        <v/>
      </c>
      <c r="BN36" s="80" t="str">
        <f t="shared" si="37"/>
        <v/>
      </c>
      <c r="BO36" s="80" t="str">
        <f t="shared" si="38"/>
        <v/>
      </c>
      <c r="BP36" s="80" t="str">
        <f t="shared" si="39"/>
        <v/>
      </c>
      <c r="BQ36" s="80" t="str">
        <f t="shared" si="40"/>
        <v/>
      </c>
      <c r="BR36" s="80" t="str">
        <f t="shared" si="41"/>
        <v/>
      </c>
      <c r="BS36" s="116" t="str">
        <f t="shared" si="42"/>
        <v/>
      </c>
    </row>
    <row r="37" ht="15.0" customHeight="1">
      <c r="A37" s="49" t="str">
        <f>IF('2027'!$E$41="","",'2027'!$E$41)</f>
        <v/>
      </c>
      <c r="B37" s="50"/>
      <c r="C37" s="51" t="str">
        <f>IF('2027'!$B$41="","",'2027'!$B$41)</f>
        <v/>
      </c>
      <c r="D37" s="51" t="str">
        <f>IF('2027'!$C$41="","",'2027'!$C$41)</f>
        <v/>
      </c>
      <c r="E37" s="51" t="str">
        <f>IF('2027'!$D$41="","",'2027'!$D$41)</f>
        <v/>
      </c>
      <c r="F37" s="51" t="str">
        <f>IF('2027'!$E$41="","",'2027'!$E$41)</f>
        <v/>
      </c>
      <c r="G37" s="51" t="str">
        <f>IF('2027'!$F$41="","",'2027'!$F$41)</f>
        <v/>
      </c>
      <c r="H37" s="57" t="str">
        <f>IF('2027'!$H$41="","",'2027'!$H$41)</f>
        <v/>
      </c>
      <c r="I37" s="58"/>
      <c r="J37" s="51" t="str">
        <f>IF('2027'!$I$41="","",'2027'!$I$41)</f>
        <v/>
      </c>
      <c r="K37" s="51" t="str">
        <f t="shared" si="2"/>
        <v/>
      </c>
      <c r="L37" s="51" t="str">
        <f>IF('2027'!$J$41="","",'2027'!$J$41)</f>
        <v/>
      </c>
      <c r="M37" s="60" t="str">
        <f>IF('2027'!$K$41="","",'2027'!$K$41)</f>
        <v/>
      </c>
      <c r="N37" s="60" t="str">
        <f>IF('2027'!$L$41="","",'2027'!$L$41)</f>
        <v/>
      </c>
      <c r="O37" s="58" t="str">
        <f t="shared" si="3"/>
        <v/>
      </c>
      <c r="P37" s="58"/>
      <c r="Q37" s="51" t="str">
        <f t="shared" si="4"/>
        <v/>
      </c>
      <c r="R37" s="51" t="str">
        <f t="shared" si="5"/>
        <v/>
      </c>
      <c r="S37" s="58" t="str">
        <f t="shared" si="6"/>
        <v/>
      </c>
      <c r="T37" s="51" t="str">
        <f t="shared" si="7"/>
        <v/>
      </c>
      <c r="U37" s="50" t="str">
        <f t="shared" si="8"/>
        <v/>
      </c>
      <c r="V37" s="58" t="str">
        <f>IF('2027'!$G$41="","",'2027'!$G$41)</f>
        <v/>
      </c>
      <c r="W37" s="58"/>
      <c r="X37" s="51" t="str">
        <f t="shared" si="9"/>
        <v/>
      </c>
      <c r="Y37" s="51" t="str">
        <f t="shared" si="10"/>
        <v/>
      </c>
      <c r="Z37" s="80" t="str">
        <f t="shared" si="11"/>
        <v/>
      </c>
      <c r="AA37" s="60"/>
      <c r="AB37" s="51" t="str">
        <f t="shared" si="12"/>
        <v/>
      </c>
      <c r="AC37" s="58" t="str">
        <f t="shared" si="13"/>
        <v/>
      </c>
      <c r="AD37" s="80" t="str">
        <f>IF('2027'!$M$41="","",'2027'!$M$41)</f>
        <v/>
      </c>
      <c r="AE37" s="49" t="str">
        <f>IF('2027'!$N$41="","",'2027'!$N$41)</f>
        <v/>
      </c>
      <c r="AF37" s="80">
        <f>IF('2027'!$O$41="","",'2027'!$O$41)</f>
        <v>0</v>
      </c>
      <c r="AG37" s="86"/>
      <c r="AH37" s="86"/>
      <c r="AI37" s="80" t="str">
        <f>IF('2027'!$Q$41="","",'2027'!$Q$41)</f>
        <v/>
      </c>
      <c r="AJ37" s="80" t="str">
        <f t="shared" si="14"/>
        <v/>
      </c>
      <c r="AK37" s="80" t="str">
        <f t="shared" si="15"/>
        <v/>
      </c>
      <c r="AL37" s="80">
        <f>IF('2027'!$R$41="","",'2027'!$R$41)</f>
        <v>0</v>
      </c>
      <c r="AM37" s="89">
        <f t="shared" ref="AM37:AN37" si="74">IFERROR(AI37-AJ37,0)</f>
        <v>0</v>
      </c>
      <c r="AN37" s="89">
        <f t="shared" si="74"/>
        <v>0</v>
      </c>
      <c r="AO37" s="91">
        <f>IF('2027'!$S$41="","",'2027'!$S$41)</f>
        <v>0</v>
      </c>
      <c r="AP37" s="92">
        <f t="shared" si="17"/>
        <v>0</v>
      </c>
      <c r="AQ37" s="86" t="str">
        <f t="shared" si="18"/>
        <v/>
      </c>
      <c r="AR37" s="80" t="str">
        <f>IF('2027'!$T$41="","",'2027'!$T$41)</f>
        <v/>
      </c>
      <c r="AS37" s="80">
        <f>IF('2027'!$U$41="","",'2027'!$U$41)</f>
        <v>0</v>
      </c>
      <c r="AT37" s="86" t="str">
        <f t="shared" si="19"/>
        <v/>
      </c>
      <c r="AU37" s="86"/>
      <c r="AV37" s="96" t="str">
        <f t="shared" si="20"/>
        <v/>
      </c>
      <c r="AW37" s="97" t="str">
        <f t="shared" si="21"/>
        <v/>
      </c>
      <c r="AX37" s="97" t="str">
        <f t="shared" si="22"/>
        <v/>
      </c>
      <c r="AY37" s="60" t="str">
        <f t="shared" si="23"/>
        <v/>
      </c>
      <c r="AZ37" s="97" t="str">
        <f t="shared" si="24"/>
        <v/>
      </c>
      <c r="BA37" s="49" t="str">
        <f t="shared" si="25"/>
        <v/>
      </c>
      <c r="BB37" s="80" t="str">
        <f t="shared" si="26"/>
        <v/>
      </c>
      <c r="BC37" s="80" t="str">
        <f t="shared" si="27"/>
        <v/>
      </c>
      <c r="BD37" s="89">
        <f t="shared" si="28"/>
        <v>0</v>
      </c>
      <c r="BE37" s="60" t="str">
        <f t="shared" si="29"/>
        <v/>
      </c>
      <c r="BF37" s="102" t="str">
        <f t="shared" si="30"/>
        <v/>
      </c>
      <c r="BG37" s="103">
        <f t="shared" si="31"/>
        <v>-46258</v>
      </c>
      <c r="BH37" s="104" t="str">
        <f t="shared" si="32"/>
        <v/>
      </c>
      <c r="BI37" s="104" t="str">
        <f t="shared" si="33"/>
        <v/>
      </c>
      <c r="BJ37" s="104" t="str">
        <f t="shared" si="34"/>
        <v/>
      </c>
      <c r="BK37" s="104" t="str">
        <f t="shared" si="35"/>
        <v/>
      </c>
      <c r="BL37" s="104" t="str">
        <f t="shared" si="36"/>
        <v/>
      </c>
      <c r="BM37" s="57" t="str">
        <f>IF('2027'!$V$41="","",'2027'!$V$41)</f>
        <v/>
      </c>
      <c r="BN37" s="80" t="str">
        <f t="shared" si="37"/>
        <v/>
      </c>
      <c r="BO37" s="80" t="str">
        <f t="shared" si="38"/>
        <v/>
      </c>
      <c r="BP37" s="80" t="str">
        <f t="shared" si="39"/>
        <v/>
      </c>
      <c r="BQ37" s="80" t="str">
        <f t="shared" si="40"/>
        <v/>
      </c>
      <c r="BR37" s="80" t="str">
        <f t="shared" si="41"/>
        <v/>
      </c>
      <c r="BS37" s="116" t="str">
        <f t="shared" si="42"/>
        <v/>
      </c>
    </row>
    <row r="38" ht="15.0" customHeight="1">
      <c r="A38" s="49" t="str">
        <f>IF('2027'!$E$42="","",'2027'!$E$42)</f>
        <v/>
      </c>
      <c r="B38" s="50"/>
      <c r="C38" s="51" t="str">
        <f>IF('2027'!$B$42="","",'2027'!$B$42)</f>
        <v/>
      </c>
      <c r="D38" s="51" t="str">
        <f>IF('2027'!$C$42="","",'2027'!$C$42)</f>
        <v/>
      </c>
      <c r="E38" s="51" t="str">
        <f>IF('2027'!$D$42="","",'2027'!$D$42)</f>
        <v/>
      </c>
      <c r="F38" s="51" t="str">
        <f>IF('2027'!$E$42="","",'2027'!$E$42)</f>
        <v/>
      </c>
      <c r="G38" s="51" t="str">
        <f>IF('2027'!$F$42="","",'2027'!$F$42)</f>
        <v/>
      </c>
      <c r="H38" s="57" t="str">
        <f>IF('2027'!$H$42="","",'2027'!$H$42)</f>
        <v/>
      </c>
      <c r="I38" s="58"/>
      <c r="J38" s="51" t="str">
        <f>IF('2027'!$I$42="","",'2027'!$I$42)</f>
        <v/>
      </c>
      <c r="K38" s="51" t="str">
        <f t="shared" si="2"/>
        <v/>
      </c>
      <c r="L38" s="51" t="str">
        <f>IF('2027'!$J$42="","",'2027'!$J$42)</f>
        <v/>
      </c>
      <c r="M38" s="60" t="str">
        <f>IF('2027'!$K$42="","",'2027'!$K$42)</f>
        <v/>
      </c>
      <c r="N38" s="60" t="str">
        <f>IF('2027'!$L$42="","",'2027'!$L$42)</f>
        <v/>
      </c>
      <c r="O38" s="58" t="str">
        <f t="shared" si="3"/>
        <v/>
      </c>
      <c r="P38" s="58"/>
      <c r="Q38" s="51" t="str">
        <f t="shared" si="4"/>
        <v/>
      </c>
      <c r="R38" s="51" t="str">
        <f t="shared" si="5"/>
        <v/>
      </c>
      <c r="S38" s="58" t="str">
        <f t="shared" si="6"/>
        <v/>
      </c>
      <c r="T38" s="51" t="str">
        <f t="shared" si="7"/>
        <v/>
      </c>
      <c r="U38" s="50" t="str">
        <f t="shared" si="8"/>
        <v/>
      </c>
      <c r="V38" s="58" t="str">
        <f>IF('2027'!$G$42="","",'2027'!$G$42)</f>
        <v/>
      </c>
      <c r="W38" s="58"/>
      <c r="X38" s="51" t="str">
        <f t="shared" si="9"/>
        <v/>
      </c>
      <c r="Y38" s="51" t="str">
        <f t="shared" si="10"/>
        <v/>
      </c>
      <c r="Z38" s="80" t="str">
        <f t="shared" si="11"/>
        <v/>
      </c>
      <c r="AA38" s="60"/>
      <c r="AB38" s="51" t="str">
        <f t="shared" si="12"/>
        <v/>
      </c>
      <c r="AC38" s="58" t="str">
        <f t="shared" si="13"/>
        <v/>
      </c>
      <c r="AD38" s="80" t="str">
        <f>IF('2027'!$M$42="","",'2027'!$M$42)</f>
        <v/>
      </c>
      <c r="AE38" s="49" t="str">
        <f>IF('2027'!$N$42="","",'2027'!$N$42)</f>
        <v/>
      </c>
      <c r="AF38" s="80">
        <f>IF('2027'!$O$42="","",'2027'!$O$42)</f>
        <v>0</v>
      </c>
      <c r="AG38" s="86"/>
      <c r="AH38" s="86"/>
      <c r="AI38" s="80" t="str">
        <f>IF('2027'!$Q$42="","",'2027'!$Q$42)</f>
        <v/>
      </c>
      <c r="AJ38" s="80" t="str">
        <f t="shared" si="14"/>
        <v/>
      </c>
      <c r="AK38" s="80" t="str">
        <f t="shared" si="15"/>
        <v/>
      </c>
      <c r="AL38" s="80">
        <f>IF('2027'!$R$42="","",'2027'!$R$42)</f>
        <v>0</v>
      </c>
      <c r="AM38" s="89">
        <f t="shared" ref="AM38:AN38" si="75">IFERROR(AI38-AJ38,0)</f>
        <v>0</v>
      </c>
      <c r="AN38" s="89">
        <f t="shared" si="75"/>
        <v>0</v>
      </c>
      <c r="AO38" s="91">
        <f>IF('2027'!$S$42="","",'2027'!$S$42)</f>
        <v>0</v>
      </c>
      <c r="AP38" s="92">
        <f t="shared" si="17"/>
        <v>0</v>
      </c>
      <c r="AQ38" s="86" t="str">
        <f t="shared" si="18"/>
        <v/>
      </c>
      <c r="AR38" s="80" t="str">
        <f>IF('2027'!$T$42="","",'2027'!$T$42)</f>
        <v/>
      </c>
      <c r="AS38" s="80">
        <f>IF('2027'!$U$42="","",'2027'!$U$42)</f>
        <v>0</v>
      </c>
      <c r="AT38" s="86" t="str">
        <f t="shared" si="19"/>
        <v/>
      </c>
      <c r="AU38" s="86"/>
      <c r="AV38" s="96" t="str">
        <f t="shared" si="20"/>
        <v/>
      </c>
      <c r="AW38" s="97" t="str">
        <f t="shared" si="21"/>
        <v/>
      </c>
      <c r="AX38" s="97" t="str">
        <f t="shared" si="22"/>
        <v/>
      </c>
      <c r="AY38" s="60" t="str">
        <f t="shared" si="23"/>
        <v/>
      </c>
      <c r="AZ38" s="97" t="str">
        <f t="shared" si="24"/>
        <v/>
      </c>
      <c r="BA38" s="49" t="str">
        <f t="shared" si="25"/>
        <v/>
      </c>
      <c r="BB38" s="80" t="str">
        <f t="shared" si="26"/>
        <v/>
      </c>
      <c r="BC38" s="80" t="str">
        <f t="shared" si="27"/>
        <v/>
      </c>
      <c r="BD38" s="89">
        <f t="shared" si="28"/>
        <v>0</v>
      </c>
      <c r="BE38" s="60" t="str">
        <f t="shared" si="29"/>
        <v/>
      </c>
      <c r="BF38" s="102" t="str">
        <f t="shared" si="30"/>
        <v/>
      </c>
      <c r="BG38" s="103">
        <f t="shared" si="31"/>
        <v>-46258</v>
      </c>
      <c r="BH38" s="104" t="str">
        <f t="shared" si="32"/>
        <v/>
      </c>
      <c r="BI38" s="104" t="str">
        <f t="shared" si="33"/>
        <v/>
      </c>
      <c r="BJ38" s="104" t="str">
        <f t="shared" si="34"/>
        <v/>
      </c>
      <c r="BK38" s="104" t="str">
        <f t="shared" si="35"/>
        <v/>
      </c>
      <c r="BL38" s="104" t="str">
        <f t="shared" si="36"/>
        <v/>
      </c>
      <c r="BM38" s="57" t="str">
        <f>IF('2027'!$V$42="","",'2027'!$V$42)</f>
        <v/>
      </c>
      <c r="BN38" s="80" t="str">
        <f t="shared" si="37"/>
        <v/>
      </c>
      <c r="BO38" s="80" t="str">
        <f t="shared" si="38"/>
        <v/>
      </c>
      <c r="BP38" s="80" t="str">
        <f t="shared" si="39"/>
        <v/>
      </c>
      <c r="BQ38" s="80" t="str">
        <f t="shared" si="40"/>
        <v/>
      </c>
      <c r="BR38" s="80" t="str">
        <f t="shared" si="41"/>
        <v/>
      </c>
      <c r="BS38" s="116" t="str">
        <f t="shared" si="42"/>
        <v/>
      </c>
    </row>
    <row r="39" ht="15.0" customHeight="1">
      <c r="A39" s="49" t="str">
        <f>IF('2027'!$E$43="","",'2027'!$E$43)</f>
        <v/>
      </c>
      <c r="B39" s="50"/>
      <c r="C39" s="51" t="str">
        <f>IF('2027'!$B$43="","",'2027'!$B$43)</f>
        <v/>
      </c>
      <c r="D39" s="51" t="str">
        <f>IF('2027'!$C$43="","",'2027'!$C$43)</f>
        <v/>
      </c>
      <c r="E39" s="51" t="str">
        <f>IF('2027'!$D$43="","",'2027'!$D$43)</f>
        <v/>
      </c>
      <c r="F39" s="51" t="str">
        <f>IF('2027'!$E$43="","",'2027'!$E$43)</f>
        <v/>
      </c>
      <c r="G39" s="51" t="str">
        <f>IF('2027'!$F$43="","",'2027'!$F$43)</f>
        <v/>
      </c>
      <c r="H39" s="57" t="str">
        <f>IF('2027'!$H$43="","",'2027'!$H$43)</f>
        <v/>
      </c>
      <c r="I39" s="58"/>
      <c r="J39" s="51" t="str">
        <f>IF('2027'!$I$43="","",'2027'!$I$43)</f>
        <v/>
      </c>
      <c r="K39" s="51" t="str">
        <f t="shared" si="2"/>
        <v/>
      </c>
      <c r="L39" s="51" t="str">
        <f>IF('2027'!$J$43="","",'2027'!$J$43)</f>
        <v/>
      </c>
      <c r="M39" s="60" t="str">
        <f>IF('2027'!$K$43="","",'2027'!$K$43)</f>
        <v/>
      </c>
      <c r="N39" s="60" t="str">
        <f>IF('2027'!$L$43="","",'2027'!$L$43)</f>
        <v/>
      </c>
      <c r="O39" s="58" t="str">
        <f t="shared" si="3"/>
        <v/>
      </c>
      <c r="P39" s="58"/>
      <c r="Q39" s="51" t="str">
        <f t="shared" si="4"/>
        <v/>
      </c>
      <c r="R39" s="51" t="str">
        <f t="shared" si="5"/>
        <v/>
      </c>
      <c r="S39" s="58" t="str">
        <f t="shared" si="6"/>
        <v/>
      </c>
      <c r="T39" s="51" t="str">
        <f t="shared" si="7"/>
        <v/>
      </c>
      <c r="U39" s="50" t="str">
        <f t="shared" si="8"/>
        <v/>
      </c>
      <c r="V39" s="58" t="str">
        <f>IF('2027'!$G$43="","",'2027'!$G$43)</f>
        <v/>
      </c>
      <c r="W39" s="58"/>
      <c r="X39" s="51" t="str">
        <f t="shared" si="9"/>
        <v/>
      </c>
      <c r="Y39" s="51" t="str">
        <f t="shared" si="10"/>
        <v/>
      </c>
      <c r="Z39" s="80" t="str">
        <f t="shared" si="11"/>
        <v/>
      </c>
      <c r="AA39" s="60"/>
      <c r="AB39" s="51" t="str">
        <f t="shared" si="12"/>
        <v/>
      </c>
      <c r="AC39" s="58" t="str">
        <f t="shared" si="13"/>
        <v/>
      </c>
      <c r="AD39" s="80" t="str">
        <f>IF('2027'!$M$43="","",'2027'!$M$43)</f>
        <v/>
      </c>
      <c r="AE39" s="49" t="str">
        <f>IF('2027'!$N$43="","",'2027'!$N$43)</f>
        <v/>
      </c>
      <c r="AF39" s="80">
        <f>IF('2027'!$O$43="","",'2027'!$O$43)</f>
        <v>0</v>
      </c>
      <c r="AG39" s="86"/>
      <c r="AH39" s="86"/>
      <c r="AI39" s="80" t="str">
        <f>IF('2027'!$Q$43="","",'2027'!$Q$43)</f>
        <v/>
      </c>
      <c r="AJ39" s="80" t="str">
        <f t="shared" si="14"/>
        <v/>
      </c>
      <c r="AK39" s="80" t="str">
        <f t="shared" si="15"/>
        <v/>
      </c>
      <c r="AL39" s="80">
        <f>IF('2027'!$R$43="","",'2027'!$R$43)</f>
        <v>0</v>
      </c>
      <c r="AM39" s="89">
        <f t="shared" ref="AM39:AN39" si="76">IFERROR(AI39-AJ39,0)</f>
        <v>0</v>
      </c>
      <c r="AN39" s="89">
        <f t="shared" si="76"/>
        <v>0</v>
      </c>
      <c r="AO39" s="91">
        <f>IF('2027'!$S$43="","",'2027'!$S$43)</f>
        <v>0</v>
      </c>
      <c r="AP39" s="92">
        <f t="shared" si="17"/>
        <v>0</v>
      </c>
      <c r="AQ39" s="86" t="str">
        <f t="shared" si="18"/>
        <v/>
      </c>
      <c r="AR39" s="80" t="str">
        <f>IF('2027'!$T$43="","",'2027'!$T$43)</f>
        <v/>
      </c>
      <c r="AS39" s="80">
        <f>IF('2027'!$U$43="","",'2027'!$U$43)</f>
        <v>0</v>
      </c>
      <c r="AT39" s="86" t="str">
        <f t="shared" si="19"/>
        <v/>
      </c>
      <c r="AU39" s="86"/>
      <c r="AV39" s="96" t="str">
        <f t="shared" si="20"/>
        <v/>
      </c>
      <c r="AW39" s="97" t="str">
        <f t="shared" si="21"/>
        <v/>
      </c>
      <c r="AX39" s="97" t="str">
        <f t="shared" si="22"/>
        <v/>
      </c>
      <c r="AY39" s="60" t="str">
        <f t="shared" si="23"/>
        <v/>
      </c>
      <c r="AZ39" s="97" t="str">
        <f t="shared" si="24"/>
        <v/>
      </c>
      <c r="BA39" s="49" t="str">
        <f t="shared" si="25"/>
        <v/>
      </c>
      <c r="BB39" s="80" t="str">
        <f t="shared" si="26"/>
        <v/>
      </c>
      <c r="BC39" s="80" t="str">
        <f t="shared" si="27"/>
        <v/>
      </c>
      <c r="BD39" s="89">
        <f t="shared" si="28"/>
        <v>0</v>
      </c>
      <c r="BE39" s="60" t="str">
        <f t="shared" si="29"/>
        <v/>
      </c>
      <c r="BF39" s="102" t="str">
        <f t="shared" si="30"/>
        <v/>
      </c>
      <c r="BG39" s="103">
        <f t="shared" si="31"/>
        <v>-46258</v>
      </c>
      <c r="BH39" s="104" t="str">
        <f t="shared" si="32"/>
        <v/>
      </c>
      <c r="BI39" s="104" t="str">
        <f t="shared" si="33"/>
        <v/>
      </c>
      <c r="BJ39" s="104" t="str">
        <f t="shared" si="34"/>
        <v/>
      </c>
      <c r="BK39" s="104" t="str">
        <f t="shared" si="35"/>
        <v/>
      </c>
      <c r="BL39" s="104" t="str">
        <f t="shared" si="36"/>
        <v/>
      </c>
      <c r="BM39" s="57" t="str">
        <f>IF('2027'!$V$43="","",'2027'!$V$43)</f>
        <v/>
      </c>
      <c r="BN39" s="80" t="str">
        <f t="shared" si="37"/>
        <v/>
      </c>
      <c r="BO39" s="80" t="str">
        <f t="shared" si="38"/>
        <v/>
      </c>
      <c r="BP39" s="80" t="str">
        <f t="shared" si="39"/>
        <v/>
      </c>
      <c r="BQ39" s="80" t="str">
        <f t="shared" si="40"/>
        <v/>
      </c>
      <c r="BR39" s="80" t="str">
        <f t="shared" si="41"/>
        <v/>
      </c>
      <c r="BS39" s="116" t="str">
        <f t="shared" si="42"/>
        <v/>
      </c>
    </row>
    <row r="40" ht="15.0" customHeight="1">
      <c r="A40" s="49" t="str">
        <f>IF('2027'!$E$44="","",'2027'!$E$44)</f>
        <v/>
      </c>
      <c r="B40" s="50"/>
      <c r="C40" s="51" t="str">
        <f>IF('2027'!$B$44="","",'2027'!$B$44)</f>
        <v/>
      </c>
      <c r="D40" s="51" t="str">
        <f>IF('2027'!$C$44="","",'2027'!$C$44)</f>
        <v/>
      </c>
      <c r="E40" s="51" t="str">
        <f>IF('2027'!$D$44="","",'2027'!$D$44)</f>
        <v/>
      </c>
      <c r="F40" s="51" t="str">
        <f>IF('2027'!$E$44="","",'2027'!$E$44)</f>
        <v/>
      </c>
      <c r="G40" s="51" t="str">
        <f>IF('2027'!$F$44="","",'2027'!$F$44)</f>
        <v/>
      </c>
      <c r="H40" s="57" t="str">
        <f>IF('2027'!$H$44="","",'2027'!$H$44)</f>
        <v/>
      </c>
      <c r="I40" s="58"/>
      <c r="J40" s="51" t="str">
        <f>IF('2027'!$I$44="","",'2027'!$I$44)</f>
        <v/>
      </c>
      <c r="K40" s="51" t="str">
        <f t="shared" si="2"/>
        <v/>
      </c>
      <c r="L40" s="51" t="str">
        <f>IF('2027'!$J$44="","",'2027'!$J$44)</f>
        <v/>
      </c>
      <c r="M40" s="60" t="str">
        <f>IF('2027'!$K$44="","",'2027'!$K$44)</f>
        <v/>
      </c>
      <c r="N40" s="60" t="str">
        <f>IF('2027'!$L$44="","",'2027'!$L$44)</f>
        <v/>
      </c>
      <c r="O40" s="58" t="str">
        <f t="shared" si="3"/>
        <v/>
      </c>
      <c r="P40" s="58"/>
      <c r="Q40" s="51" t="str">
        <f t="shared" si="4"/>
        <v/>
      </c>
      <c r="R40" s="51" t="str">
        <f t="shared" si="5"/>
        <v/>
      </c>
      <c r="S40" s="58" t="str">
        <f t="shared" si="6"/>
        <v/>
      </c>
      <c r="T40" s="51" t="str">
        <f t="shared" si="7"/>
        <v/>
      </c>
      <c r="U40" s="50" t="str">
        <f t="shared" si="8"/>
        <v/>
      </c>
      <c r="V40" s="58" t="str">
        <f>IF('2027'!$G$44="","",'2027'!$G$44)</f>
        <v/>
      </c>
      <c r="W40" s="58"/>
      <c r="X40" s="51" t="str">
        <f t="shared" si="9"/>
        <v/>
      </c>
      <c r="Y40" s="51" t="str">
        <f t="shared" si="10"/>
        <v/>
      </c>
      <c r="Z40" s="80" t="str">
        <f t="shared" si="11"/>
        <v/>
      </c>
      <c r="AA40" s="60"/>
      <c r="AB40" s="51" t="str">
        <f t="shared" si="12"/>
        <v/>
      </c>
      <c r="AC40" s="58" t="str">
        <f t="shared" si="13"/>
        <v/>
      </c>
      <c r="AD40" s="80" t="str">
        <f>IF('2027'!$M$44="","",'2027'!$M$44)</f>
        <v/>
      </c>
      <c r="AE40" s="49" t="str">
        <f>IF('2027'!$N$44="","",'2027'!$N$44)</f>
        <v/>
      </c>
      <c r="AF40" s="80">
        <f>IF('2027'!$O$44="","",'2027'!$O$44)</f>
        <v>0</v>
      </c>
      <c r="AG40" s="86"/>
      <c r="AH40" s="86"/>
      <c r="AI40" s="80" t="str">
        <f>IF('2027'!$Q$44="","",'2027'!$Q$44)</f>
        <v/>
      </c>
      <c r="AJ40" s="80" t="str">
        <f t="shared" si="14"/>
        <v/>
      </c>
      <c r="AK40" s="80" t="str">
        <f t="shared" si="15"/>
        <v/>
      </c>
      <c r="AL40" s="80">
        <f>IF('2027'!$R$44="","",'2027'!$R$44)</f>
        <v>0</v>
      </c>
      <c r="AM40" s="89">
        <f t="shared" ref="AM40:AN40" si="77">IFERROR(AI40-AJ40,0)</f>
        <v>0</v>
      </c>
      <c r="AN40" s="89">
        <f t="shared" si="77"/>
        <v>0</v>
      </c>
      <c r="AO40" s="91">
        <f>IF('2027'!$S$44="","",'2027'!$S$44)</f>
        <v>0</v>
      </c>
      <c r="AP40" s="92">
        <f t="shared" si="17"/>
        <v>0</v>
      </c>
      <c r="AQ40" s="86" t="str">
        <f t="shared" si="18"/>
        <v/>
      </c>
      <c r="AR40" s="80" t="str">
        <f>IF('2027'!$T$44="","",'2027'!$T$44)</f>
        <v/>
      </c>
      <c r="AS40" s="80">
        <f>IF('2027'!$U$44="","",'2027'!$U$44)</f>
        <v>0</v>
      </c>
      <c r="AT40" s="86" t="str">
        <f t="shared" si="19"/>
        <v/>
      </c>
      <c r="AU40" s="86"/>
      <c r="AV40" s="96" t="str">
        <f t="shared" si="20"/>
        <v/>
      </c>
      <c r="AW40" s="97" t="str">
        <f t="shared" si="21"/>
        <v/>
      </c>
      <c r="AX40" s="97" t="str">
        <f t="shared" si="22"/>
        <v/>
      </c>
      <c r="AY40" s="60" t="str">
        <f t="shared" si="23"/>
        <v/>
      </c>
      <c r="AZ40" s="97" t="str">
        <f t="shared" si="24"/>
        <v/>
      </c>
      <c r="BA40" s="49" t="str">
        <f t="shared" si="25"/>
        <v/>
      </c>
      <c r="BB40" s="80" t="str">
        <f t="shared" si="26"/>
        <v/>
      </c>
      <c r="BC40" s="80" t="str">
        <f t="shared" si="27"/>
        <v/>
      </c>
      <c r="BD40" s="89">
        <f t="shared" si="28"/>
        <v>0</v>
      </c>
      <c r="BE40" s="60" t="str">
        <f t="shared" si="29"/>
        <v/>
      </c>
      <c r="BF40" s="102" t="str">
        <f t="shared" si="30"/>
        <v/>
      </c>
      <c r="BG40" s="103">
        <f t="shared" si="31"/>
        <v>-46258</v>
      </c>
      <c r="BH40" s="104" t="str">
        <f t="shared" si="32"/>
        <v/>
      </c>
      <c r="BI40" s="104" t="str">
        <f t="shared" si="33"/>
        <v/>
      </c>
      <c r="BJ40" s="104" t="str">
        <f t="shared" si="34"/>
        <v/>
      </c>
      <c r="BK40" s="104" t="str">
        <f t="shared" si="35"/>
        <v/>
      </c>
      <c r="BL40" s="104" t="str">
        <f t="shared" si="36"/>
        <v/>
      </c>
      <c r="BM40" s="57" t="str">
        <f>IF('2027'!$V$44="","",'2027'!$V$44)</f>
        <v/>
      </c>
      <c r="BN40" s="80" t="str">
        <f t="shared" si="37"/>
        <v/>
      </c>
      <c r="BO40" s="80" t="str">
        <f t="shared" si="38"/>
        <v/>
      </c>
      <c r="BP40" s="80" t="str">
        <f t="shared" si="39"/>
        <v/>
      </c>
      <c r="BQ40" s="80" t="str">
        <f t="shared" si="40"/>
        <v/>
      </c>
      <c r="BR40" s="80" t="str">
        <f t="shared" si="41"/>
        <v/>
      </c>
      <c r="BS40" s="116" t="str">
        <f t="shared" si="42"/>
        <v/>
      </c>
    </row>
    <row r="41" ht="15.0" customHeight="1">
      <c r="A41" s="49" t="str">
        <f>IF('2027'!$E$45="","",'2027'!$E$45)</f>
        <v/>
      </c>
      <c r="B41" s="50"/>
      <c r="C41" s="51" t="str">
        <f>IF('2027'!$B$45="","",'2027'!$B$45)</f>
        <v/>
      </c>
      <c r="D41" s="51" t="str">
        <f>IF('2027'!$C$45="","",'2027'!$C$45)</f>
        <v/>
      </c>
      <c r="E41" s="51" t="str">
        <f>IF('2027'!$D$45="","",'2027'!$D$45)</f>
        <v/>
      </c>
      <c r="F41" s="51" t="str">
        <f>IF('2027'!$E$45="","",'2027'!$E$45)</f>
        <v/>
      </c>
      <c r="G41" s="51" t="str">
        <f>IF('2027'!$F$45="","",'2027'!$F$45)</f>
        <v/>
      </c>
      <c r="H41" s="57" t="str">
        <f>IF('2027'!$H$45="","",'2027'!$H$45)</f>
        <v/>
      </c>
      <c r="I41" s="58"/>
      <c r="J41" s="51" t="str">
        <f>IF('2027'!$I$45="","",'2027'!$I$45)</f>
        <v/>
      </c>
      <c r="K41" s="51" t="str">
        <f t="shared" si="2"/>
        <v/>
      </c>
      <c r="L41" s="51" t="str">
        <f>IF('2027'!$J$45="","",'2027'!$J$45)</f>
        <v/>
      </c>
      <c r="M41" s="60" t="str">
        <f>IF('2027'!$K$45="","",'2027'!$K$45)</f>
        <v/>
      </c>
      <c r="N41" s="60" t="str">
        <f>IF('2027'!$L$45="","",'2027'!$L$45)</f>
        <v/>
      </c>
      <c r="O41" s="58" t="str">
        <f t="shared" si="3"/>
        <v/>
      </c>
      <c r="P41" s="58"/>
      <c r="Q41" s="51" t="str">
        <f t="shared" si="4"/>
        <v/>
      </c>
      <c r="R41" s="51" t="str">
        <f t="shared" si="5"/>
        <v/>
      </c>
      <c r="S41" s="58" t="str">
        <f t="shared" si="6"/>
        <v/>
      </c>
      <c r="T41" s="51" t="str">
        <f t="shared" si="7"/>
        <v/>
      </c>
      <c r="U41" s="50" t="str">
        <f t="shared" si="8"/>
        <v/>
      </c>
      <c r="V41" s="58" t="str">
        <f>IF('2027'!$G$45="","",'2027'!$G$45)</f>
        <v/>
      </c>
      <c r="W41" s="58"/>
      <c r="X41" s="51" t="str">
        <f t="shared" si="9"/>
        <v/>
      </c>
      <c r="Y41" s="51" t="str">
        <f t="shared" si="10"/>
        <v/>
      </c>
      <c r="Z41" s="80" t="str">
        <f t="shared" si="11"/>
        <v/>
      </c>
      <c r="AA41" s="60"/>
      <c r="AB41" s="51" t="str">
        <f t="shared" si="12"/>
        <v/>
      </c>
      <c r="AC41" s="58" t="str">
        <f t="shared" si="13"/>
        <v/>
      </c>
      <c r="AD41" s="80" t="str">
        <f>IF('2027'!$M$45="","",'2027'!$M$45)</f>
        <v/>
      </c>
      <c r="AE41" s="49" t="str">
        <f>IF('2027'!$N$45="","",'2027'!$N$45)</f>
        <v/>
      </c>
      <c r="AF41" s="80">
        <f>IF('2027'!$O$45="","",'2027'!$O$45)</f>
        <v>0</v>
      </c>
      <c r="AG41" s="86"/>
      <c r="AH41" s="86"/>
      <c r="AI41" s="80" t="str">
        <f>IF('2027'!$Q$45="","",'2027'!$Q$45)</f>
        <v/>
      </c>
      <c r="AJ41" s="80" t="str">
        <f t="shared" si="14"/>
        <v/>
      </c>
      <c r="AK41" s="80" t="str">
        <f t="shared" si="15"/>
        <v/>
      </c>
      <c r="AL41" s="80">
        <f>IF('2027'!$R$45="","",'2027'!$R$45)</f>
        <v>0</v>
      </c>
      <c r="AM41" s="89">
        <f t="shared" ref="AM41:AN41" si="78">IFERROR(AI41-AJ41,0)</f>
        <v>0</v>
      </c>
      <c r="AN41" s="89">
        <f t="shared" si="78"/>
        <v>0</v>
      </c>
      <c r="AO41" s="91">
        <f>IF('2027'!$S$45="","",'2027'!$S$45)</f>
        <v>0</v>
      </c>
      <c r="AP41" s="92">
        <f t="shared" si="17"/>
        <v>0</v>
      </c>
      <c r="AQ41" s="86" t="str">
        <f t="shared" si="18"/>
        <v/>
      </c>
      <c r="AR41" s="80" t="str">
        <f>IF('2027'!$T$45="","",'2027'!$T$45)</f>
        <v/>
      </c>
      <c r="AS41" s="80">
        <f>IF('2027'!$U$45="","",'2027'!$U$45)</f>
        <v>0</v>
      </c>
      <c r="AT41" s="86" t="str">
        <f t="shared" si="19"/>
        <v/>
      </c>
      <c r="AU41" s="86"/>
      <c r="AV41" s="96" t="str">
        <f t="shared" si="20"/>
        <v/>
      </c>
      <c r="AW41" s="97" t="str">
        <f t="shared" si="21"/>
        <v/>
      </c>
      <c r="AX41" s="97" t="str">
        <f t="shared" si="22"/>
        <v/>
      </c>
      <c r="AY41" s="60" t="str">
        <f t="shared" si="23"/>
        <v/>
      </c>
      <c r="AZ41" s="97" t="str">
        <f t="shared" si="24"/>
        <v/>
      </c>
      <c r="BA41" s="49" t="str">
        <f t="shared" si="25"/>
        <v/>
      </c>
      <c r="BB41" s="80" t="str">
        <f t="shared" si="26"/>
        <v/>
      </c>
      <c r="BC41" s="80" t="str">
        <f t="shared" si="27"/>
        <v/>
      </c>
      <c r="BD41" s="89">
        <f t="shared" si="28"/>
        <v>0</v>
      </c>
      <c r="BE41" s="60" t="str">
        <f t="shared" si="29"/>
        <v/>
      </c>
      <c r="BF41" s="102" t="str">
        <f t="shared" si="30"/>
        <v/>
      </c>
      <c r="BG41" s="103">
        <f t="shared" si="31"/>
        <v>-46258</v>
      </c>
      <c r="BH41" s="104" t="str">
        <f t="shared" si="32"/>
        <v/>
      </c>
      <c r="BI41" s="104" t="str">
        <f t="shared" si="33"/>
        <v/>
      </c>
      <c r="BJ41" s="104" t="str">
        <f t="shared" si="34"/>
        <v/>
      </c>
      <c r="BK41" s="104" t="str">
        <f t="shared" si="35"/>
        <v/>
      </c>
      <c r="BL41" s="104" t="str">
        <f t="shared" si="36"/>
        <v/>
      </c>
      <c r="BM41" s="57" t="str">
        <f>IF('2027'!$V$45="","",'2027'!$V$45)</f>
        <v/>
      </c>
      <c r="BN41" s="80" t="str">
        <f t="shared" si="37"/>
        <v/>
      </c>
      <c r="BO41" s="80" t="str">
        <f t="shared" si="38"/>
        <v/>
      </c>
      <c r="BP41" s="80" t="str">
        <f t="shared" si="39"/>
        <v/>
      </c>
      <c r="BQ41" s="80" t="str">
        <f t="shared" si="40"/>
        <v/>
      </c>
      <c r="BR41" s="80" t="str">
        <f t="shared" si="41"/>
        <v/>
      </c>
      <c r="BS41" s="116" t="str">
        <f t="shared" si="42"/>
        <v/>
      </c>
    </row>
    <row r="42" ht="15.0" customHeight="1">
      <c r="A42" s="49" t="str">
        <f>IF('2027'!$E$46="","",'2027'!$E$46)</f>
        <v/>
      </c>
      <c r="B42" s="50"/>
      <c r="C42" s="51" t="str">
        <f>IF('2027'!$B$46="","",'2027'!$B$46)</f>
        <v/>
      </c>
      <c r="D42" s="51" t="str">
        <f>IF('2027'!$C$46="","",'2027'!$C$46)</f>
        <v/>
      </c>
      <c r="E42" s="51" t="str">
        <f>IF('2027'!$D$46="","",'2027'!$D$46)</f>
        <v/>
      </c>
      <c r="F42" s="51" t="str">
        <f>IF('2027'!$E$46="","",'2027'!$E$46)</f>
        <v/>
      </c>
      <c r="G42" s="51" t="str">
        <f>IF('2027'!$F$46="","",'2027'!$F$46)</f>
        <v/>
      </c>
      <c r="H42" s="57" t="str">
        <f>IF('2027'!$H$46="","",'2027'!$H$46)</f>
        <v/>
      </c>
      <c r="I42" s="58"/>
      <c r="J42" s="51" t="str">
        <f>IF('2027'!$I$46="","",'2027'!$I$46)</f>
        <v/>
      </c>
      <c r="K42" s="51" t="str">
        <f t="shared" si="2"/>
        <v/>
      </c>
      <c r="L42" s="51" t="str">
        <f>IF('2027'!$J$46="","",'2027'!$J$46)</f>
        <v/>
      </c>
      <c r="M42" s="60" t="str">
        <f>IF('2027'!$K$46="","",'2027'!$K$46)</f>
        <v/>
      </c>
      <c r="N42" s="60" t="str">
        <f>IF('2027'!$L$46="","",'2027'!$L$46)</f>
        <v/>
      </c>
      <c r="O42" s="58" t="str">
        <f t="shared" si="3"/>
        <v/>
      </c>
      <c r="P42" s="58"/>
      <c r="Q42" s="51" t="str">
        <f t="shared" si="4"/>
        <v/>
      </c>
      <c r="R42" s="51" t="str">
        <f t="shared" si="5"/>
        <v/>
      </c>
      <c r="S42" s="58" t="str">
        <f t="shared" si="6"/>
        <v/>
      </c>
      <c r="T42" s="51" t="str">
        <f t="shared" si="7"/>
        <v/>
      </c>
      <c r="U42" s="50" t="str">
        <f t="shared" si="8"/>
        <v/>
      </c>
      <c r="V42" s="58" t="str">
        <f>IF('2027'!$G$46="","",'2027'!$G$46)</f>
        <v/>
      </c>
      <c r="W42" s="58"/>
      <c r="X42" s="51" t="str">
        <f t="shared" si="9"/>
        <v/>
      </c>
      <c r="Y42" s="51" t="str">
        <f t="shared" si="10"/>
        <v/>
      </c>
      <c r="Z42" s="80" t="str">
        <f t="shared" si="11"/>
        <v/>
      </c>
      <c r="AA42" s="60"/>
      <c r="AB42" s="51" t="str">
        <f t="shared" si="12"/>
        <v/>
      </c>
      <c r="AC42" s="58" t="str">
        <f t="shared" si="13"/>
        <v/>
      </c>
      <c r="AD42" s="80" t="str">
        <f>IF('2027'!$M$46="","",'2027'!$M$46)</f>
        <v/>
      </c>
      <c r="AE42" s="49" t="str">
        <f>IF('2027'!$N$46="","",'2027'!$N$46)</f>
        <v/>
      </c>
      <c r="AF42" s="80">
        <f>IF('2027'!$O$46="","",'2027'!$O$46)</f>
        <v>0</v>
      </c>
      <c r="AG42" s="86"/>
      <c r="AH42" s="86"/>
      <c r="AI42" s="80" t="str">
        <f>IF('2027'!$Q$46="","",'2027'!$Q$46)</f>
        <v/>
      </c>
      <c r="AJ42" s="80" t="str">
        <f t="shared" si="14"/>
        <v/>
      </c>
      <c r="AK42" s="80" t="str">
        <f t="shared" si="15"/>
        <v/>
      </c>
      <c r="AL42" s="80">
        <f>IF('2027'!$R$46="","",'2027'!$R$46)</f>
        <v>0</v>
      </c>
      <c r="AM42" s="89">
        <f t="shared" ref="AM42:AN42" si="79">IFERROR(AI42-AJ42,0)</f>
        <v>0</v>
      </c>
      <c r="AN42" s="89">
        <f t="shared" si="79"/>
        <v>0</v>
      </c>
      <c r="AO42" s="91">
        <f>IF('2027'!$S$46="","",'2027'!$S$46)</f>
        <v>0</v>
      </c>
      <c r="AP42" s="92">
        <f t="shared" si="17"/>
        <v>0</v>
      </c>
      <c r="AQ42" s="86" t="str">
        <f t="shared" si="18"/>
        <v/>
      </c>
      <c r="AR42" s="80" t="str">
        <f>IF('2027'!$T$46="","",'2027'!$T$46)</f>
        <v/>
      </c>
      <c r="AS42" s="80">
        <f>IF('2027'!$U$46="","",'2027'!$U$46)</f>
        <v>0</v>
      </c>
      <c r="AT42" s="86" t="str">
        <f t="shared" si="19"/>
        <v/>
      </c>
      <c r="AU42" s="86"/>
      <c r="AV42" s="96" t="str">
        <f t="shared" si="20"/>
        <v/>
      </c>
      <c r="AW42" s="97" t="str">
        <f t="shared" si="21"/>
        <v/>
      </c>
      <c r="AX42" s="97" t="str">
        <f t="shared" si="22"/>
        <v/>
      </c>
      <c r="AY42" s="60" t="str">
        <f t="shared" si="23"/>
        <v/>
      </c>
      <c r="AZ42" s="97" t="str">
        <f t="shared" si="24"/>
        <v/>
      </c>
      <c r="BA42" s="49" t="str">
        <f t="shared" si="25"/>
        <v/>
      </c>
      <c r="BB42" s="80" t="str">
        <f t="shared" si="26"/>
        <v/>
      </c>
      <c r="BC42" s="80" t="str">
        <f t="shared" si="27"/>
        <v/>
      </c>
      <c r="BD42" s="89">
        <f t="shared" si="28"/>
        <v>0</v>
      </c>
      <c r="BE42" s="60" t="str">
        <f t="shared" si="29"/>
        <v/>
      </c>
      <c r="BF42" s="102" t="str">
        <f t="shared" si="30"/>
        <v/>
      </c>
      <c r="BG42" s="103">
        <f t="shared" si="31"/>
        <v>-46258</v>
      </c>
      <c r="BH42" s="104" t="str">
        <f t="shared" si="32"/>
        <v/>
      </c>
      <c r="BI42" s="104" t="str">
        <f t="shared" si="33"/>
        <v/>
      </c>
      <c r="BJ42" s="104" t="str">
        <f t="shared" si="34"/>
        <v/>
      </c>
      <c r="BK42" s="104" t="str">
        <f t="shared" si="35"/>
        <v/>
      </c>
      <c r="BL42" s="104" t="str">
        <f t="shared" si="36"/>
        <v/>
      </c>
      <c r="BM42" s="57" t="str">
        <f>IF('2027'!$V$46="","",'2027'!$V$46)</f>
        <v/>
      </c>
      <c r="BN42" s="80" t="str">
        <f t="shared" si="37"/>
        <v/>
      </c>
      <c r="BO42" s="80" t="str">
        <f t="shared" si="38"/>
        <v/>
      </c>
      <c r="BP42" s="80" t="str">
        <f t="shared" si="39"/>
        <v/>
      </c>
      <c r="BQ42" s="80" t="str">
        <f t="shared" si="40"/>
        <v/>
      </c>
      <c r="BR42" s="80" t="str">
        <f t="shared" si="41"/>
        <v/>
      </c>
      <c r="BS42" s="116" t="str">
        <f t="shared" si="42"/>
        <v/>
      </c>
    </row>
    <row r="43" ht="15.0" customHeight="1">
      <c r="A43" s="49" t="str">
        <f>IF('2027'!$E$47="","",'2027'!$E$47)</f>
        <v/>
      </c>
      <c r="B43" s="50"/>
      <c r="C43" s="51" t="str">
        <f>IF('2027'!$B$47="","",'2027'!$B$47)</f>
        <v/>
      </c>
      <c r="D43" s="51" t="str">
        <f>IF('2027'!$C$47="","",'2027'!$C$47)</f>
        <v/>
      </c>
      <c r="E43" s="51" t="str">
        <f>IF('2027'!$D$47="","",'2027'!$D$47)</f>
        <v/>
      </c>
      <c r="F43" s="51" t="str">
        <f>IF('2027'!$E$47="","",'2027'!$E$47)</f>
        <v/>
      </c>
      <c r="G43" s="51" t="str">
        <f>IF('2027'!$F$47="","",'2027'!$F$47)</f>
        <v/>
      </c>
      <c r="H43" s="57" t="str">
        <f>IF('2027'!$H$47="","",'2027'!$H$47)</f>
        <v/>
      </c>
      <c r="I43" s="58"/>
      <c r="J43" s="51" t="str">
        <f>IF('2027'!$I$47="","",'2027'!$I$47)</f>
        <v/>
      </c>
      <c r="K43" s="51" t="str">
        <f t="shared" si="2"/>
        <v/>
      </c>
      <c r="L43" s="51" t="str">
        <f>IF('2027'!$J$47="","",'2027'!$J$47)</f>
        <v/>
      </c>
      <c r="M43" s="60" t="str">
        <f>IF('2027'!$K$47="","",'2027'!$K$47)</f>
        <v/>
      </c>
      <c r="N43" s="60" t="str">
        <f>IF('2027'!$L$47="","",'2027'!$L$47)</f>
        <v/>
      </c>
      <c r="O43" s="58" t="str">
        <f t="shared" si="3"/>
        <v/>
      </c>
      <c r="P43" s="58"/>
      <c r="Q43" s="51" t="str">
        <f t="shared" si="4"/>
        <v/>
      </c>
      <c r="R43" s="51" t="str">
        <f t="shared" si="5"/>
        <v/>
      </c>
      <c r="S43" s="58" t="str">
        <f t="shared" si="6"/>
        <v/>
      </c>
      <c r="T43" s="51" t="str">
        <f t="shared" si="7"/>
        <v/>
      </c>
      <c r="U43" s="50" t="str">
        <f t="shared" si="8"/>
        <v/>
      </c>
      <c r="V43" s="58" t="str">
        <f>IF('2027'!$G$47="","",'2027'!$G$47)</f>
        <v/>
      </c>
      <c r="W43" s="58"/>
      <c r="X43" s="51" t="str">
        <f t="shared" si="9"/>
        <v/>
      </c>
      <c r="Y43" s="51" t="str">
        <f t="shared" si="10"/>
        <v/>
      </c>
      <c r="Z43" s="80" t="str">
        <f t="shared" si="11"/>
        <v/>
      </c>
      <c r="AA43" s="60"/>
      <c r="AB43" s="51" t="str">
        <f t="shared" si="12"/>
        <v/>
      </c>
      <c r="AC43" s="58" t="str">
        <f t="shared" si="13"/>
        <v/>
      </c>
      <c r="AD43" s="80" t="str">
        <f>IF('2027'!$M$47="","",'2027'!$M$47)</f>
        <v/>
      </c>
      <c r="AE43" s="49" t="str">
        <f>IF('2027'!$N$47="","",'2027'!$N$47)</f>
        <v/>
      </c>
      <c r="AF43" s="80">
        <f>IF('2027'!$O$47="","",'2027'!$O$47)</f>
        <v>0</v>
      </c>
      <c r="AG43" s="86"/>
      <c r="AH43" s="86"/>
      <c r="AI43" s="80" t="str">
        <f>IF('2027'!$Q$47="","",'2027'!$Q$47)</f>
        <v/>
      </c>
      <c r="AJ43" s="80" t="str">
        <f t="shared" si="14"/>
        <v/>
      </c>
      <c r="AK43" s="80" t="str">
        <f t="shared" si="15"/>
        <v/>
      </c>
      <c r="AL43" s="80">
        <f>IF('2027'!$R$47="","",'2027'!$R$47)</f>
        <v>0</v>
      </c>
      <c r="AM43" s="89">
        <f t="shared" ref="AM43:AN43" si="80">IFERROR(AI43-AJ43,0)</f>
        <v>0</v>
      </c>
      <c r="AN43" s="89">
        <f t="shared" si="80"/>
        <v>0</v>
      </c>
      <c r="AO43" s="91">
        <f>IF('2027'!$S$47="","",'2027'!$S$47)</f>
        <v>0</v>
      </c>
      <c r="AP43" s="92">
        <f t="shared" si="17"/>
        <v>0</v>
      </c>
      <c r="AQ43" s="86" t="str">
        <f t="shared" si="18"/>
        <v/>
      </c>
      <c r="AR43" s="80" t="str">
        <f>IF('2027'!$T$47="","",'2027'!$T$47)</f>
        <v/>
      </c>
      <c r="AS43" s="80">
        <f>IF('2027'!$U$47="","",'2027'!$U$47)</f>
        <v>0</v>
      </c>
      <c r="AT43" s="86" t="str">
        <f t="shared" si="19"/>
        <v/>
      </c>
      <c r="AU43" s="86"/>
      <c r="AV43" s="96" t="str">
        <f t="shared" si="20"/>
        <v/>
      </c>
      <c r="AW43" s="97" t="str">
        <f t="shared" si="21"/>
        <v/>
      </c>
      <c r="AX43" s="97" t="str">
        <f t="shared" si="22"/>
        <v/>
      </c>
      <c r="AY43" s="60" t="str">
        <f t="shared" si="23"/>
        <v/>
      </c>
      <c r="AZ43" s="97" t="str">
        <f t="shared" si="24"/>
        <v/>
      </c>
      <c r="BA43" s="49" t="str">
        <f t="shared" si="25"/>
        <v/>
      </c>
      <c r="BB43" s="80" t="str">
        <f t="shared" si="26"/>
        <v/>
      </c>
      <c r="BC43" s="80" t="str">
        <f t="shared" si="27"/>
        <v/>
      </c>
      <c r="BD43" s="89">
        <f t="shared" si="28"/>
        <v>0</v>
      </c>
      <c r="BE43" s="60" t="str">
        <f t="shared" si="29"/>
        <v/>
      </c>
      <c r="BF43" s="102" t="str">
        <f t="shared" si="30"/>
        <v/>
      </c>
      <c r="BG43" s="103">
        <f t="shared" si="31"/>
        <v>-46258</v>
      </c>
      <c r="BH43" s="104" t="str">
        <f t="shared" si="32"/>
        <v/>
      </c>
      <c r="BI43" s="104" t="str">
        <f t="shared" si="33"/>
        <v/>
      </c>
      <c r="BJ43" s="104" t="str">
        <f t="shared" si="34"/>
        <v/>
      </c>
      <c r="BK43" s="104" t="str">
        <f t="shared" si="35"/>
        <v/>
      </c>
      <c r="BL43" s="104" t="str">
        <f t="shared" si="36"/>
        <v/>
      </c>
      <c r="BM43" s="57" t="str">
        <f>IF('2027'!$V$47="","",'2027'!$V$47)</f>
        <v/>
      </c>
      <c r="BN43" s="80" t="str">
        <f t="shared" si="37"/>
        <v/>
      </c>
      <c r="BO43" s="80" t="str">
        <f t="shared" si="38"/>
        <v/>
      </c>
      <c r="BP43" s="80" t="str">
        <f t="shared" si="39"/>
        <v/>
      </c>
      <c r="BQ43" s="80" t="str">
        <f t="shared" si="40"/>
        <v/>
      </c>
      <c r="BR43" s="80" t="str">
        <f t="shared" si="41"/>
        <v/>
      </c>
      <c r="BS43" s="116" t="str">
        <f t="shared" si="42"/>
        <v/>
      </c>
    </row>
    <row r="44" ht="15.0" customHeight="1">
      <c r="A44" s="49" t="str">
        <f>IF('2027'!$E$48="","",'2027'!$E$48)</f>
        <v/>
      </c>
      <c r="B44" s="50"/>
      <c r="C44" s="51" t="str">
        <f>IF('2027'!$B$48="","",'2027'!$B$48)</f>
        <v/>
      </c>
      <c r="D44" s="51" t="str">
        <f>IF('2027'!$C$48="","",'2027'!$C$48)</f>
        <v/>
      </c>
      <c r="E44" s="51" t="str">
        <f>IF('2027'!$D$48="","",'2027'!$D$48)</f>
        <v/>
      </c>
      <c r="F44" s="51" t="str">
        <f>IF('2027'!$E$48="","",'2027'!$E$48)</f>
        <v/>
      </c>
      <c r="G44" s="51" t="str">
        <f>IF('2027'!$F$48="","",'2027'!$F$48)</f>
        <v/>
      </c>
      <c r="H44" s="57" t="str">
        <f>IF('2027'!$H$48="","",'2027'!$H$48)</f>
        <v/>
      </c>
      <c r="I44" s="58"/>
      <c r="J44" s="51" t="str">
        <f>IF('2027'!$I$48="","",'2027'!$I$48)</f>
        <v/>
      </c>
      <c r="K44" s="51" t="str">
        <f t="shared" si="2"/>
        <v/>
      </c>
      <c r="L44" s="51" t="str">
        <f>IF('2027'!$J$48="","",'2027'!$J$48)</f>
        <v/>
      </c>
      <c r="M44" s="60" t="str">
        <f>IF('2027'!$K$48="","",'2027'!$K$48)</f>
        <v/>
      </c>
      <c r="N44" s="60" t="str">
        <f>IF('2027'!$L$48="","",'2027'!$L$48)</f>
        <v/>
      </c>
      <c r="O44" s="58" t="str">
        <f t="shared" si="3"/>
        <v/>
      </c>
      <c r="P44" s="58"/>
      <c r="Q44" s="51" t="str">
        <f t="shared" si="4"/>
        <v/>
      </c>
      <c r="R44" s="51" t="str">
        <f t="shared" si="5"/>
        <v/>
      </c>
      <c r="S44" s="58" t="str">
        <f t="shared" si="6"/>
        <v/>
      </c>
      <c r="T44" s="51" t="str">
        <f t="shared" si="7"/>
        <v/>
      </c>
      <c r="U44" s="50" t="str">
        <f t="shared" si="8"/>
        <v/>
      </c>
      <c r="V44" s="58" t="str">
        <f>IF('2027'!$G$48="","",'2027'!$G$48)</f>
        <v/>
      </c>
      <c r="W44" s="58"/>
      <c r="X44" s="51" t="str">
        <f t="shared" si="9"/>
        <v/>
      </c>
      <c r="Y44" s="51" t="str">
        <f t="shared" si="10"/>
        <v/>
      </c>
      <c r="Z44" s="80" t="str">
        <f t="shared" si="11"/>
        <v/>
      </c>
      <c r="AA44" s="60"/>
      <c r="AB44" s="51" t="str">
        <f t="shared" si="12"/>
        <v/>
      </c>
      <c r="AC44" s="58" t="str">
        <f t="shared" si="13"/>
        <v/>
      </c>
      <c r="AD44" s="80" t="str">
        <f>IF('2027'!$M$48="","",'2027'!$M$48)</f>
        <v/>
      </c>
      <c r="AE44" s="49" t="str">
        <f>IF('2027'!$N$48="","",'2027'!$N$48)</f>
        <v/>
      </c>
      <c r="AF44" s="80">
        <f>IF('2027'!$O$48="","",'2027'!$O$48)</f>
        <v>0</v>
      </c>
      <c r="AG44" s="86"/>
      <c r="AH44" s="86"/>
      <c r="AI44" s="80" t="str">
        <f>IF('2027'!$Q$48="","",'2027'!$Q$48)</f>
        <v/>
      </c>
      <c r="AJ44" s="80" t="str">
        <f t="shared" si="14"/>
        <v/>
      </c>
      <c r="AK44" s="80" t="str">
        <f t="shared" si="15"/>
        <v/>
      </c>
      <c r="AL44" s="80">
        <f>IF('2027'!$R$48="","",'2027'!$R$48)</f>
        <v>0</v>
      </c>
      <c r="AM44" s="89">
        <f t="shared" ref="AM44:AN44" si="81">IFERROR(AI44-AJ44,0)</f>
        <v>0</v>
      </c>
      <c r="AN44" s="89">
        <f t="shared" si="81"/>
        <v>0</v>
      </c>
      <c r="AO44" s="91">
        <f>IF('2027'!$S$48="","",'2027'!$S$48)</f>
        <v>0</v>
      </c>
      <c r="AP44" s="92">
        <f t="shared" si="17"/>
        <v>0</v>
      </c>
      <c r="AQ44" s="86" t="str">
        <f t="shared" si="18"/>
        <v/>
      </c>
      <c r="AR44" s="80" t="str">
        <f>IF('2027'!$T$48="","",'2027'!$T$48)</f>
        <v/>
      </c>
      <c r="AS44" s="80">
        <f>IF('2027'!$U$48="","",'2027'!$U$48)</f>
        <v>0</v>
      </c>
      <c r="AT44" s="86" t="str">
        <f t="shared" si="19"/>
        <v/>
      </c>
      <c r="AU44" s="86"/>
      <c r="AV44" s="96" t="str">
        <f t="shared" si="20"/>
        <v/>
      </c>
      <c r="AW44" s="97" t="str">
        <f t="shared" si="21"/>
        <v/>
      </c>
      <c r="AX44" s="97" t="str">
        <f t="shared" si="22"/>
        <v/>
      </c>
      <c r="AY44" s="60" t="str">
        <f t="shared" si="23"/>
        <v/>
      </c>
      <c r="AZ44" s="97" t="str">
        <f t="shared" si="24"/>
        <v/>
      </c>
      <c r="BA44" s="49" t="str">
        <f t="shared" si="25"/>
        <v/>
      </c>
      <c r="BB44" s="80" t="str">
        <f t="shared" si="26"/>
        <v/>
      </c>
      <c r="BC44" s="80" t="str">
        <f t="shared" si="27"/>
        <v/>
      </c>
      <c r="BD44" s="89">
        <f t="shared" si="28"/>
        <v>0</v>
      </c>
      <c r="BE44" s="60" t="str">
        <f t="shared" si="29"/>
        <v/>
      </c>
      <c r="BF44" s="102" t="str">
        <f t="shared" si="30"/>
        <v/>
      </c>
      <c r="BG44" s="103">
        <f t="shared" si="31"/>
        <v>-46258</v>
      </c>
      <c r="BH44" s="104" t="str">
        <f t="shared" si="32"/>
        <v/>
      </c>
      <c r="BI44" s="104" t="str">
        <f t="shared" si="33"/>
        <v/>
      </c>
      <c r="BJ44" s="104" t="str">
        <f t="shared" si="34"/>
        <v/>
      </c>
      <c r="BK44" s="104" t="str">
        <f t="shared" si="35"/>
        <v/>
      </c>
      <c r="BL44" s="104" t="str">
        <f t="shared" si="36"/>
        <v/>
      </c>
      <c r="BM44" s="57" t="str">
        <f>IF('2027'!$V$48="","",'2027'!$V$48)</f>
        <v/>
      </c>
      <c r="BN44" s="80" t="str">
        <f t="shared" si="37"/>
        <v/>
      </c>
      <c r="BO44" s="80" t="str">
        <f t="shared" si="38"/>
        <v/>
      </c>
      <c r="BP44" s="80" t="str">
        <f t="shared" si="39"/>
        <v/>
      </c>
      <c r="BQ44" s="80" t="str">
        <f t="shared" si="40"/>
        <v/>
      </c>
      <c r="BR44" s="80" t="str">
        <f t="shared" si="41"/>
        <v/>
      </c>
      <c r="BS44" s="116" t="str">
        <f t="shared" si="42"/>
        <v/>
      </c>
    </row>
    <row r="45" ht="15.0" customHeight="1">
      <c r="A45" s="49" t="str">
        <f>IF('2027'!$E$49="","",'2027'!$E$49)</f>
        <v/>
      </c>
      <c r="B45" s="50"/>
      <c r="C45" s="51" t="str">
        <f>IF('2027'!$B$49="","",'2027'!$B$49)</f>
        <v/>
      </c>
      <c r="D45" s="51" t="str">
        <f>IF('2027'!$C$49="","",'2027'!$C$49)</f>
        <v/>
      </c>
      <c r="E45" s="51" t="str">
        <f>IF('2027'!$D$49="","",'2027'!$D$49)</f>
        <v/>
      </c>
      <c r="F45" s="51" t="str">
        <f>IF('2027'!$E$49="","",'2027'!$E$49)</f>
        <v/>
      </c>
      <c r="G45" s="51" t="str">
        <f>IF('2027'!$F$49="","",'2027'!$F$49)</f>
        <v/>
      </c>
      <c r="H45" s="57" t="str">
        <f>IF('2027'!$H$49="","",'2027'!$H$49)</f>
        <v/>
      </c>
      <c r="I45" s="58"/>
      <c r="J45" s="51" t="str">
        <f>IF('2027'!$I$49="","",'2027'!$I$49)</f>
        <v/>
      </c>
      <c r="K45" s="51" t="str">
        <f t="shared" si="2"/>
        <v/>
      </c>
      <c r="L45" s="51" t="str">
        <f>IF('2027'!$J$49="","",'2027'!$J$49)</f>
        <v/>
      </c>
      <c r="M45" s="60" t="str">
        <f>IF('2027'!$K$49="","",'2027'!$K$49)</f>
        <v/>
      </c>
      <c r="N45" s="60" t="str">
        <f>IF('2027'!$L$49="","",'2027'!$L$49)</f>
        <v/>
      </c>
      <c r="O45" s="58" t="str">
        <f t="shared" si="3"/>
        <v/>
      </c>
      <c r="P45" s="58"/>
      <c r="Q45" s="51" t="str">
        <f t="shared" si="4"/>
        <v/>
      </c>
      <c r="R45" s="51" t="str">
        <f t="shared" si="5"/>
        <v/>
      </c>
      <c r="S45" s="58" t="str">
        <f t="shared" si="6"/>
        <v/>
      </c>
      <c r="T45" s="51" t="str">
        <f t="shared" si="7"/>
        <v/>
      </c>
      <c r="U45" s="50" t="str">
        <f t="shared" si="8"/>
        <v/>
      </c>
      <c r="V45" s="58" t="str">
        <f>IF('2027'!$G$49="","",'2027'!$G$49)</f>
        <v/>
      </c>
      <c r="W45" s="58"/>
      <c r="X45" s="51" t="str">
        <f t="shared" si="9"/>
        <v/>
      </c>
      <c r="Y45" s="51" t="str">
        <f t="shared" si="10"/>
        <v/>
      </c>
      <c r="Z45" s="80" t="str">
        <f t="shared" si="11"/>
        <v/>
      </c>
      <c r="AA45" s="60"/>
      <c r="AB45" s="51" t="str">
        <f t="shared" si="12"/>
        <v/>
      </c>
      <c r="AC45" s="58" t="str">
        <f t="shared" si="13"/>
        <v/>
      </c>
      <c r="AD45" s="80" t="str">
        <f>IF('2027'!$M$49="","",'2027'!$M$49)</f>
        <v/>
      </c>
      <c r="AE45" s="49" t="str">
        <f>IF('2027'!$N$49="","",'2027'!$N$49)</f>
        <v/>
      </c>
      <c r="AF45" s="80">
        <f>IF('2027'!$O$49="","",'2027'!$O$49)</f>
        <v>0</v>
      </c>
      <c r="AG45" s="86"/>
      <c r="AH45" s="86"/>
      <c r="AI45" s="80" t="str">
        <f>IF('2027'!$Q$49="","",'2027'!$Q$49)</f>
        <v/>
      </c>
      <c r="AJ45" s="80" t="str">
        <f t="shared" si="14"/>
        <v/>
      </c>
      <c r="AK45" s="80" t="str">
        <f t="shared" si="15"/>
        <v/>
      </c>
      <c r="AL45" s="80">
        <f>IF('2027'!$R$49="","",'2027'!$R$49)</f>
        <v>0</v>
      </c>
      <c r="AM45" s="89">
        <f t="shared" ref="AM45:AN45" si="82">IFERROR(AI45-AJ45,0)</f>
        <v>0</v>
      </c>
      <c r="AN45" s="89">
        <f t="shared" si="82"/>
        <v>0</v>
      </c>
      <c r="AO45" s="91">
        <f>IF('2027'!$S$49="","",'2027'!$S$49)</f>
        <v>0</v>
      </c>
      <c r="AP45" s="92">
        <f t="shared" si="17"/>
        <v>0</v>
      </c>
      <c r="AQ45" s="86" t="str">
        <f t="shared" si="18"/>
        <v/>
      </c>
      <c r="AR45" s="80" t="str">
        <f>IF('2027'!$T$49="","",'2027'!$T$49)</f>
        <v/>
      </c>
      <c r="AS45" s="80">
        <f>IF('2027'!$U$49="","",'2027'!$U$49)</f>
        <v>0</v>
      </c>
      <c r="AT45" s="86" t="str">
        <f t="shared" si="19"/>
        <v/>
      </c>
      <c r="AU45" s="86"/>
      <c r="AV45" s="96" t="str">
        <f t="shared" si="20"/>
        <v/>
      </c>
      <c r="AW45" s="97" t="str">
        <f t="shared" si="21"/>
        <v/>
      </c>
      <c r="AX45" s="97" t="str">
        <f t="shared" si="22"/>
        <v/>
      </c>
      <c r="AY45" s="60" t="str">
        <f t="shared" si="23"/>
        <v/>
      </c>
      <c r="AZ45" s="97" t="str">
        <f t="shared" si="24"/>
        <v/>
      </c>
      <c r="BA45" s="49" t="str">
        <f t="shared" si="25"/>
        <v/>
      </c>
      <c r="BB45" s="80" t="str">
        <f t="shared" si="26"/>
        <v/>
      </c>
      <c r="BC45" s="80" t="str">
        <f t="shared" si="27"/>
        <v/>
      </c>
      <c r="BD45" s="89">
        <f t="shared" si="28"/>
        <v>0</v>
      </c>
      <c r="BE45" s="60" t="str">
        <f t="shared" si="29"/>
        <v/>
      </c>
      <c r="BF45" s="102" t="str">
        <f t="shared" si="30"/>
        <v/>
      </c>
      <c r="BG45" s="103">
        <f t="shared" si="31"/>
        <v>-46258</v>
      </c>
      <c r="BH45" s="104" t="str">
        <f t="shared" si="32"/>
        <v/>
      </c>
      <c r="BI45" s="104" t="str">
        <f t="shared" si="33"/>
        <v/>
      </c>
      <c r="BJ45" s="104" t="str">
        <f t="shared" si="34"/>
        <v/>
      </c>
      <c r="BK45" s="104" t="str">
        <f t="shared" si="35"/>
        <v/>
      </c>
      <c r="BL45" s="104" t="str">
        <f t="shared" si="36"/>
        <v/>
      </c>
      <c r="BM45" s="57" t="str">
        <f>IF('2027'!$V$49="","",'2027'!$V$49)</f>
        <v/>
      </c>
      <c r="BN45" s="80" t="str">
        <f t="shared" si="37"/>
        <v/>
      </c>
      <c r="BO45" s="80" t="str">
        <f t="shared" si="38"/>
        <v/>
      </c>
      <c r="BP45" s="80" t="str">
        <f t="shared" si="39"/>
        <v/>
      </c>
      <c r="BQ45" s="80" t="str">
        <f t="shared" si="40"/>
        <v/>
      </c>
      <c r="BR45" s="80" t="str">
        <f t="shared" si="41"/>
        <v/>
      </c>
      <c r="BS45" s="116" t="str">
        <f t="shared" si="42"/>
        <v/>
      </c>
    </row>
    <row r="46" ht="15.0" customHeight="1">
      <c r="A46" s="49" t="str">
        <f>IF('2027'!$E$50="","",'2027'!$E$50)</f>
        <v/>
      </c>
      <c r="B46" s="50"/>
      <c r="C46" s="51" t="str">
        <f>IF('2027'!$B$50="","",'2027'!$B$50)</f>
        <v/>
      </c>
      <c r="D46" s="51" t="str">
        <f>IF('2027'!$C$50="","",'2027'!$C$50)</f>
        <v/>
      </c>
      <c r="E46" s="51" t="str">
        <f>IF('2027'!$D$50="","",'2027'!$D$50)</f>
        <v/>
      </c>
      <c r="F46" s="51" t="str">
        <f>IF('2027'!$E$50="","",'2027'!$E$50)</f>
        <v/>
      </c>
      <c r="G46" s="51" t="str">
        <f>IF('2027'!$F$50="","",'2027'!$F$50)</f>
        <v/>
      </c>
      <c r="H46" s="57" t="str">
        <f>IF('2027'!$H$50="","",'2027'!$H$50)</f>
        <v/>
      </c>
      <c r="I46" s="58"/>
      <c r="J46" s="51" t="str">
        <f>IF('2027'!$I$50="","",'2027'!$I$50)</f>
        <v/>
      </c>
      <c r="K46" s="51" t="str">
        <f t="shared" si="2"/>
        <v/>
      </c>
      <c r="L46" s="51" t="str">
        <f>IF('2027'!$J$50="","",'2027'!$J$50)</f>
        <v/>
      </c>
      <c r="M46" s="60" t="str">
        <f>IF('2027'!$K$50="","",'2027'!$K$50)</f>
        <v/>
      </c>
      <c r="N46" s="60" t="str">
        <f>IF('2027'!$L$50="","",'2027'!$L$50)</f>
        <v/>
      </c>
      <c r="O46" s="58" t="str">
        <f t="shared" si="3"/>
        <v/>
      </c>
      <c r="P46" s="58"/>
      <c r="Q46" s="51" t="str">
        <f t="shared" si="4"/>
        <v/>
      </c>
      <c r="R46" s="51" t="str">
        <f t="shared" si="5"/>
        <v/>
      </c>
      <c r="S46" s="58" t="str">
        <f t="shared" si="6"/>
        <v/>
      </c>
      <c r="T46" s="51" t="str">
        <f t="shared" si="7"/>
        <v/>
      </c>
      <c r="U46" s="50" t="str">
        <f t="shared" si="8"/>
        <v/>
      </c>
      <c r="V46" s="58" t="str">
        <f>IF('2027'!$G$50="","",'2027'!$G$50)</f>
        <v/>
      </c>
      <c r="W46" s="58"/>
      <c r="X46" s="51" t="str">
        <f t="shared" si="9"/>
        <v/>
      </c>
      <c r="Y46" s="51" t="str">
        <f t="shared" si="10"/>
        <v/>
      </c>
      <c r="Z46" s="80" t="str">
        <f t="shared" si="11"/>
        <v/>
      </c>
      <c r="AA46" s="60"/>
      <c r="AB46" s="51" t="str">
        <f t="shared" si="12"/>
        <v/>
      </c>
      <c r="AC46" s="58" t="str">
        <f t="shared" si="13"/>
        <v/>
      </c>
      <c r="AD46" s="80" t="str">
        <f>IF('2027'!$M$50="","",'2027'!$M$50)</f>
        <v/>
      </c>
      <c r="AE46" s="49" t="str">
        <f>IF('2027'!$N$50="","",'2027'!$N$50)</f>
        <v/>
      </c>
      <c r="AF46" s="80">
        <f>IF('2027'!$O$50="","",'2027'!$O$50)</f>
        <v>0</v>
      </c>
      <c r="AG46" s="86"/>
      <c r="AH46" s="86"/>
      <c r="AI46" s="80" t="str">
        <f>IF('2027'!$Q$50="","",'2027'!$Q$50)</f>
        <v/>
      </c>
      <c r="AJ46" s="80" t="str">
        <f t="shared" si="14"/>
        <v/>
      </c>
      <c r="AK46" s="80" t="str">
        <f t="shared" si="15"/>
        <v/>
      </c>
      <c r="AL46" s="80">
        <f>IF('2027'!$R$50="","",'2027'!$R$50)</f>
        <v>0</v>
      </c>
      <c r="AM46" s="89">
        <f t="shared" ref="AM46:AN46" si="83">IFERROR(AI46-AJ46,0)</f>
        <v>0</v>
      </c>
      <c r="AN46" s="89">
        <f t="shared" si="83"/>
        <v>0</v>
      </c>
      <c r="AO46" s="91">
        <f>IF('2027'!$S$50="","",'2027'!$S$50)</f>
        <v>0</v>
      </c>
      <c r="AP46" s="92">
        <f t="shared" si="17"/>
        <v>0</v>
      </c>
      <c r="AQ46" s="86" t="str">
        <f t="shared" si="18"/>
        <v/>
      </c>
      <c r="AR46" s="80" t="str">
        <f>IF('2027'!$T$50="","",'2027'!$T$50)</f>
        <v/>
      </c>
      <c r="AS46" s="80">
        <f>IF('2027'!$U$50="","",'2027'!$U$50)</f>
        <v>0</v>
      </c>
      <c r="AT46" s="86" t="str">
        <f t="shared" si="19"/>
        <v/>
      </c>
      <c r="AU46" s="86"/>
      <c r="AV46" s="96" t="str">
        <f t="shared" si="20"/>
        <v/>
      </c>
      <c r="AW46" s="97" t="str">
        <f t="shared" si="21"/>
        <v/>
      </c>
      <c r="AX46" s="97" t="str">
        <f t="shared" si="22"/>
        <v/>
      </c>
      <c r="AY46" s="60" t="str">
        <f t="shared" si="23"/>
        <v/>
      </c>
      <c r="AZ46" s="97" t="str">
        <f t="shared" si="24"/>
        <v/>
      </c>
      <c r="BA46" s="49" t="str">
        <f t="shared" si="25"/>
        <v/>
      </c>
      <c r="BB46" s="80" t="str">
        <f t="shared" si="26"/>
        <v/>
      </c>
      <c r="BC46" s="80" t="str">
        <f t="shared" si="27"/>
        <v/>
      </c>
      <c r="BD46" s="89">
        <f t="shared" si="28"/>
        <v>0</v>
      </c>
      <c r="BE46" s="60" t="str">
        <f t="shared" si="29"/>
        <v/>
      </c>
      <c r="BF46" s="102" t="str">
        <f t="shared" si="30"/>
        <v/>
      </c>
      <c r="BG46" s="103">
        <f t="shared" si="31"/>
        <v>-46258</v>
      </c>
      <c r="BH46" s="104" t="str">
        <f t="shared" si="32"/>
        <v/>
      </c>
      <c r="BI46" s="104" t="str">
        <f t="shared" si="33"/>
        <v/>
      </c>
      <c r="BJ46" s="104" t="str">
        <f t="shared" si="34"/>
        <v/>
      </c>
      <c r="BK46" s="104" t="str">
        <f t="shared" si="35"/>
        <v/>
      </c>
      <c r="BL46" s="104" t="str">
        <f t="shared" si="36"/>
        <v/>
      </c>
      <c r="BM46" s="57" t="str">
        <f>IF('2027'!$V$50="","",'2027'!$V$50)</f>
        <v/>
      </c>
      <c r="BN46" s="80" t="str">
        <f t="shared" si="37"/>
        <v/>
      </c>
      <c r="BO46" s="80" t="str">
        <f t="shared" si="38"/>
        <v/>
      </c>
      <c r="BP46" s="80" t="str">
        <f t="shared" si="39"/>
        <v/>
      </c>
      <c r="BQ46" s="80" t="str">
        <f t="shared" si="40"/>
        <v/>
      </c>
      <c r="BR46" s="80" t="str">
        <f t="shared" si="41"/>
        <v/>
      </c>
      <c r="BS46" s="116" t="str">
        <f t="shared" si="42"/>
        <v/>
      </c>
    </row>
    <row r="47" ht="15.0" customHeight="1">
      <c r="A47" s="49" t="str">
        <f>IF('2027'!$E$51="","",'2027'!$E$51)</f>
        <v/>
      </c>
      <c r="B47" s="50"/>
      <c r="C47" s="51" t="str">
        <f>IF('2027'!$B$51="","",'2027'!$B$51)</f>
        <v/>
      </c>
      <c r="D47" s="51" t="str">
        <f>IF('2027'!$C$51="","",'2027'!$C$51)</f>
        <v/>
      </c>
      <c r="E47" s="51" t="str">
        <f>IF('2027'!$D$51="","",'2027'!$D$51)</f>
        <v/>
      </c>
      <c r="F47" s="51" t="str">
        <f>IF('2027'!$E$51="","",'2027'!$E$51)</f>
        <v/>
      </c>
      <c r="G47" s="51" t="str">
        <f>IF('2027'!$F$51="","",'2027'!$F$51)</f>
        <v/>
      </c>
      <c r="H47" s="57" t="str">
        <f>IF('2027'!$H$51="","",'2027'!$H$51)</f>
        <v/>
      </c>
      <c r="I47" s="58"/>
      <c r="J47" s="51" t="str">
        <f>IF('2027'!$I$51="","",'2027'!$I$51)</f>
        <v/>
      </c>
      <c r="K47" s="51" t="str">
        <f t="shared" si="2"/>
        <v/>
      </c>
      <c r="L47" s="51" t="str">
        <f>IF('2027'!$J$51="","",'2027'!$J$51)</f>
        <v/>
      </c>
      <c r="M47" s="60" t="str">
        <f>IF('2027'!$K$51="","",'2027'!$K$51)</f>
        <v/>
      </c>
      <c r="N47" s="60" t="str">
        <f>IF('2027'!$L$51="","",'2027'!$L$51)</f>
        <v/>
      </c>
      <c r="O47" s="58" t="str">
        <f t="shared" si="3"/>
        <v/>
      </c>
      <c r="P47" s="58"/>
      <c r="Q47" s="51" t="str">
        <f t="shared" si="4"/>
        <v/>
      </c>
      <c r="R47" s="51" t="str">
        <f t="shared" si="5"/>
        <v/>
      </c>
      <c r="S47" s="58" t="str">
        <f t="shared" si="6"/>
        <v/>
      </c>
      <c r="T47" s="51" t="str">
        <f t="shared" si="7"/>
        <v/>
      </c>
      <c r="U47" s="50" t="str">
        <f t="shared" si="8"/>
        <v/>
      </c>
      <c r="V47" s="58" t="str">
        <f>IF('2027'!$G$51="","",'2027'!$G$51)</f>
        <v/>
      </c>
      <c r="W47" s="58"/>
      <c r="X47" s="51" t="str">
        <f t="shared" si="9"/>
        <v/>
      </c>
      <c r="Y47" s="51" t="str">
        <f t="shared" si="10"/>
        <v/>
      </c>
      <c r="Z47" s="80" t="str">
        <f t="shared" si="11"/>
        <v/>
      </c>
      <c r="AA47" s="60"/>
      <c r="AB47" s="51" t="str">
        <f t="shared" si="12"/>
        <v/>
      </c>
      <c r="AC47" s="58" t="str">
        <f t="shared" si="13"/>
        <v/>
      </c>
      <c r="AD47" s="80" t="str">
        <f>IF('2027'!$M$51="","",'2027'!$M$51)</f>
        <v/>
      </c>
      <c r="AE47" s="49" t="str">
        <f>IF('2027'!$N$51="","",'2027'!$N$51)</f>
        <v/>
      </c>
      <c r="AF47" s="80">
        <f>IF('2027'!$O$51="","",'2027'!$O$51)</f>
        <v>0</v>
      </c>
      <c r="AG47" s="86"/>
      <c r="AH47" s="86"/>
      <c r="AI47" s="80" t="str">
        <f>IF('2027'!$Q$51="","",'2027'!$Q$51)</f>
        <v/>
      </c>
      <c r="AJ47" s="80" t="str">
        <f t="shared" si="14"/>
        <v/>
      </c>
      <c r="AK47" s="80" t="str">
        <f t="shared" si="15"/>
        <v/>
      </c>
      <c r="AL47" s="80">
        <f>IF('2027'!$R$51="","",'2027'!$R$51)</f>
        <v>0</v>
      </c>
      <c r="AM47" s="89">
        <f t="shared" ref="AM47:AN47" si="84">IFERROR(AI47-AJ47,0)</f>
        <v>0</v>
      </c>
      <c r="AN47" s="89">
        <f t="shared" si="84"/>
        <v>0</v>
      </c>
      <c r="AO47" s="91">
        <f>IF('2027'!$S$51="","",'2027'!$S$51)</f>
        <v>0</v>
      </c>
      <c r="AP47" s="92">
        <f t="shared" si="17"/>
        <v>0</v>
      </c>
      <c r="AQ47" s="86" t="str">
        <f t="shared" si="18"/>
        <v/>
      </c>
      <c r="AR47" s="80" t="str">
        <f>IF('2027'!$T$51="","",'2027'!$T$51)</f>
        <v/>
      </c>
      <c r="AS47" s="80">
        <f>IF('2027'!$U$51="","",'2027'!$U$51)</f>
        <v>0</v>
      </c>
      <c r="AT47" s="86" t="str">
        <f t="shared" si="19"/>
        <v/>
      </c>
      <c r="AU47" s="86"/>
      <c r="AV47" s="96" t="str">
        <f t="shared" si="20"/>
        <v/>
      </c>
      <c r="AW47" s="97" t="str">
        <f t="shared" si="21"/>
        <v/>
      </c>
      <c r="AX47" s="97" t="str">
        <f t="shared" si="22"/>
        <v/>
      </c>
      <c r="AY47" s="60" t="str">
        <f t="shared" si="23"/>
        <v/>
      </c>
      <c r="AZ47" s="97" t="str">
        <f t="shared" si="24"/>
        <v/>
      </c>
      <c r="BA47" s="49" t="str">
        <f t="shared" si="25"/>
        <v/>
      </c>
      <c r="BB47" s="80" t="str">
        <f t="shared" si="26"/>
        <v/>
      </c>
      <c r="BC47" s="80" t="str">
        <f t="shared" si="27"/>
        <v/>
      </c>
      <c r="BD47" s="89">
        <f t="shared" si="28"/>
        <v>0</v>
      </c>
      <c r="BE47" s="60" t="str">
        <f t="shared" si="29"/>
        <v/>
      </c>
      <c r="BF47" s="102" t="str">
        <f t="shared" si="30"/>
        <v/>
      </c>
      <c r="BG47" s="103">
        <f t="shared" si="31"/>
        <v>-46258</v>
      </c>
      <c r="BH47" s="104" t="str">
        <f t="shared" si="32"/>
        <v/>
      </c>
      <c r="BI47" s="104" t="str">
        <f t="shared" si="33"/>
        <v/>
      </c>
      <c r="BJ47" s="104" t="str">
        <f t="shared" si="34"/>
        <v/>
      </c>
      <c r="BK47" s="104" t="str">
        <f t="shared" si="35"/>
        <v/>
      </c>
      <c r="BL47" s="104" t="str">
        <f t="shared" si="36"/>
        <v/>
      </c>
      <c r="BM47" s="57" t="str">
        <f>IF('2027'!$V$51="","",'2027'!$V$51)</f>
        <v/>
      </c>
      <c r="BN47" s="80" t="str">
        <f t="shared" si="37"/>
        <v/>
      </c>
      <c r="BO47" s="80" t="str">
        <f t="shared" si="38"/>
        <v/>
      </c>
      <c r="BP47" s="80" t="str">
        <f t="shared" si="39"/>
        <v/>
      </c>
      <c r="BQ47" s="80" t="str">
        <f t="shared" si="40"/>
        <v/>
      </c>
      <c r="BR47" s="80" t="str">
        <f t="shared" si="41"/>
        <v/>
      </c>
      <c r="BS47" s="116" t="str">
        <f t="shared" si="42"/>
        <v/>
      </c>
    </row>
    <row r="48" ht="15.0" customHeight="1">
      <c r="A48" s="49" t="str">
        <f>IF('2027'!$E$52="","",'2027'!$E$52)</f>
        <v/>
      </c>
      <c r="B48" s="50"/>
      <c r="C48" s="51" t="str">
        <f>IF('2027'!$B$52="","",'2027'!$B$52)</f>
        <v/>
      </c>
      <c r="D48" s="51" t="str">
        <f>IF('2027'!$C$52="","",'2027'!$C$52)</f>
        <v/>
      </c>
      <c r="E48" s="51" t="str">
        <f>IF('2027'!$D$52="","",'2027'!$D$52)</f>
        <v/>
      </c>
      <c r="F48" s="51" t="str">
        <f>IF('2027'!$E$52="","",'2027'!$E$52)</f>
        <v/>
      </c>
      <c r="G48" s="51" t="str">
        <f>IF('2027'!$F$52="","",'2027'!$F$52)</f>
        <v/>
      </c>
      <c r="H48" s="57" t="str">
        <f>IF('2027'!$H$52="","",'2027'!$H$52)</f>
        <v/>
      </c>
      <c r="I48" s="58"/>
      <c r="J48" s="51" t="str">
        <f>IF('2027'!$I$52="","",'2027'!$I$52)</f>
        <v/>
      </c>
      <c r="K48" s="51" t="str">
        <f t="shared" si="2"/>
        <v/>
      </c>
      <c r="L48" s="51" t="str">
        <f>IF('2027'!$J$52="","",'2027'!$J$52)</f>
        <v/>
      </c>
      <c r="M48" s="60" t="str">
        <f>IF('2027'!$K$52="","",'2027'!$K$52)</f>
        <v/>
      </c>
      <c r="N48" s="60" t="str">
        <f>IF('2027'!$L$52="","",'2027'!$L$52)</f>
        <v/>
      </c>
      <c r="O48" s="58" t="str">
        <f t="shared" si="3"/>
        <v/>
      </c>
      <c r="P48" s="58"/>
      <c r="Q48" s="51" t="str">
        <f t="shared" si="4"/>
        <v/>
      </c>
      <c r="R48" s="51" t="str">
        <f t="shared" si="5"/>
        <v/>
      </c>
      <c r="S48" s="58" t="str">
        <f t="shared" si="6"/>
        <v/>
      </c>
      <c r="T48" s="51" t="str">
        <f t="shared" si="7"/>
        <v/>
      </c>
      <c r="U48" s="50" t="str">
        <f t="shared" si="8"/>
        <v/>
      </c>
      <c r="V48" s="58" t="str">
        <f>IF('2027'!$G$52="","",'2027'!$G$52)</f>
        <v/>
      </c>
      <c r="W48" s="58"/>
      <c r="X48" s="51" t="str">
        <f t="shared" si="9"/>
        <v/>
      </c>
      <c r="Y48" s="51" t="str">
        <f t="shared" si="10"/>
        <v/>
      </c>
      <c r="Z48" s="80" t="str">
        <f t="shared" si="11"/>
        <v/>
      </c>
      <c r="AA48" s="60"/>
      <c r="AB48" s="51" t="str">
        <f t="shared" si="12"/>
        <v/>
      </c>
      <c r="AC48" s="58" t="str">
        <f t="shared" si="13"/>
        <v/>
      </c>
      <c r="AD48" s="80" t="str">
        <f>IF('2027'!$M$52="","",'2027'!$M$52)</f>
        <v/>
      </c>
      <c r="AE48" s="49" t="str">
        <f>IF('2027'!$N$52="","",'2027'!$N$52)</f>
        <v/>
      </c>
      <c r="AF48" s="80">
        <f>IF('2027'!$O$52="","",'2027'!$O$52)</f>
        <v>0</v>
      </c>
      <c r="AG48" s="86"/>
      <c r="AH48" s="86"/>
      <c r="AI48" s="80" t="str">
        <f>IF('2027'!$Q$52="","",'2027'!$Q$52)</f>
        <v/>
      </c>
      <c r="AJ48" s="80" t="str">
        <f t="shared" si="14"/>
        <v/>
      </c>
      <c r="AK48" s="80" t="str">
        <f t="shared" si="15"/>
        <v/>
      </c>
      <c r="AL48" s="80">
        <f>IF('2027'!$R$52="","",'2027'!$R$52)</f>
        <v>0</v>
      </c>
      <c r="AM48" s="89">
        <f t="shared" ref="AM48:AN48" si="85">IFERROR(AI48-AJ48,0)</f>
        <v>0</v>
      </c>
      <c r="AN48" s="89">
        <f t="shared" si="85"/>
        <v>0</v>
      </c>
      <c r="AO48" s="91">
        <f>IF('2027'!$S$52="","",'2027'!$S$52)</f>
        <v>0</v>
      </c>
      <c r="AP48" s="92">
        <f t="shared" si="17"/>
        <v>0</v>
      </c>
      <c r="AQ48" s="86" t="str">
        <f t="shared" si="18"/>
        <v/>
      </c>
      <c r="AR48" s="80" t="str">
        <f>IF('2027'!$T$52="","",'2027'!$T$52)</f>
        <v/>
      </c>
      <c r="AS48" s="80">
        <f>IF('2027'!$U$52="","",'2027'!$U$52)</f>
        <v>0</v>
      </c>
      <c r="AT48" s="86" t="str">
        <f t="shared" si="19"/>
        <v/>
      </c>
      <c r="AU48" s="86"/>
      <c r="AV48" s="96" t="str">
        <f t="shared" si="20"/>
        <v/>
      </c>
      <c r="AW48" s="97" t="str">
        <f t="shared" si="21"/>
        <v/>
      </c>
      <c r="AX48" s="97" t="str">
        <f t="shared" si="22"/>
        <v/>
      </c>
      <c r="AY48" s="60" t="str">
        <f t="shared" si="23"/>
        <v/>
      </c>
      <c r="AZ48" s="97" t="str">
        <f t="shared" si="24"/>
        <v/>
      </c>
      <c r="BA48" s="49" t="str">
        <f t="shared" si="25"/>
        <v/>
      </c>
      <c r="BB48" s="80" t="str">
        <f t="shared" si="26"/>
        <v/>
      </c>
      <c r="BC48" s="80" t="str">
        <f t="shared" si="27"/>
        <v/>
      </c>
      <c r="BD48" s="89">
        <f t="shared" si="28"/>
        <v>0</v>
      </c>
      <c r="BE48" s="60" t="str">
        <f t="shared" si="29"/>
        <v/>
      </c>
      <c r="BF48" s="102" t="str">
        <f t="shared" si="30"/>
        <v/>
      </c>
      <c r="BG48" s="103">
        <f t="shared" si="31"/>
        <v>-46258</v>
      </c>
      <c r="BH48" s="104" t="str">
        <f t="shared" si="32"/>
        <v/>
      </c>
      <c r="BI48" s="104" t="str">
        <f t="shared" si="33"/>
        <v/>
      </c>
      <c r="BJ48" s="104" t="str">
        <f t="shared" si="34"/>
        <v/>
      </c>
      <c r="BK48" s="104" t="str">
        <f t="shared" si="35"/>
        <v/>
      </c>
      <c r="BL48" s="104" t="str">
        <f t="shared" si="36"/>
        <v/>
      </c>
      <c r="BM48" s="57" t="str">
        <f>IF('2027'!$V$52="","",'2027'!$V$52)</f>
        <v/>
      </c>
      <c r="BN48" s="80" t="str">
        <f t="shared" si="37"/>
        <v/>
      </c>
      <c r="BO48" s="80" t="str">
        <f t="shared" si="38"/>
        <v/>
      </c>
      <c r="BP48" s="80" t="str">
        <f t="shared" si="39"/>
        <v/>
      </c>
      <c r="BQ48" s="80" t="str">
        <f t="shared" si="40"/>
        <v/>
      </c>
      <c r="BR48" s="80" t="str">
        <f t="shared" si="41"/>
        <v/>
      </c>
      <c r="BS48" s="116" t="str">
        <f t="shared" si="42"/>
        <v/>
      </c>
    </row>
    <row r="49" ht="15.0" customHeight="1">
      <c r="A49" s="49" t="str">
        <f>IF('2027'!$E$53="","",'2027'!$E$53)</f>
        <v/>
      </c>
      <c r="B49" s="50"/>
      <c r="C49" s="51" t="str">
        <f>IF('2027'!$B$53="","",'2027'!$B$53)</f>
        <v/>
      </c>
      <c r="D49" s="51" t="str">
        <f>IF('2027'!$C$53="","",'2027'!$C$53)</f>
        <v/>
      </c>
      <c r="E49" s="51" t="str">
        <f>IF('2027'!$D$53="","",'2027'!$D$53)</f>
        <v/>
      </c>
      <c r="F49" s="51" t="str">
        <f>IF('2027'!$E$53="","",'2027'!$E$53)</f>
        <v/>
      </c>
      <c r="G49" s="51" t="str">
        <f>IF('2027'!$F$53="","",'2027'!$F$53)</f>
        <v/>
      </c>
      <c r="H49" s="57" t="str">
        <f>IF('2027'!$H$53="","",'2027'!$H$53)</f>
        <v/>
      </c>
      <c r="I49" s="58"/>
      <c r="J49" s="51" t="str">
        <f>IF('2027'!$I$53="","",'2027'!$I$53)</f>
        <v/>
      </c>
      <c r="K49" s="51" t="str">
        <f t="shared" si="2"/>
        <v/>
      </c>
      <c r="L49" s="51" t="str">
        <f>IF('2027'!$J$53="","",'2027'!$J$53)</f>
        <v/>
      </c>
      <c r="M49" s="60" t="str">
        <f>IF('2027'!$K$53="","",'2027'!$K$53)</f>
        <v/>
      </c>
      <c r="N49" s="60" t="str">
        <f>IF('2027'!$L$53="","",'2027'!$L$53)</f>
        <v/>
      </c>
      <c r="O49" s="58" t="str">
        <f t="shared" si="3"/>
        <v/>
      </c>
      <c r="P49" s="58"/>
      <c r="Q49" s="51" t="str">
        <f t="shared" si="4"/>
        <v/>
      </c>
      <c r="R49" s="51" t="str">
        <f t="shared" si="5"/>
        <v/>
      </c>
      <c r="S49" s="58" t="str">
        <f t="shared" si="6"/>
        <v/>
      </c>
      <c r="T49" s="51" t="str">
        <f t="shared" si="7"/>
        <v/>
      </c>
      <c r="U49" s="50" t="str">
        <f t="shared" si="8"/>
        <v/>
      </c>
      <c r="V49" s="58" t="str">
        <f>IF('2027'!$G$53="","",'2027'!$G$53)</f>
        <v/>
      </c>
      <c r="W49" s="58"/>
      <c r="X49" s="51" t="str">
        <f t="shared" si="9"/>
        <v/>
      </c>
      <c r="Y49" s="51" t="str">
        <f t="shared" si="10"/>
        <v/>
      </c>
      <c r="Z49" s="80" t="str">
        <f t="shared" si="11"/>
        <v/>
      </c>
      <c r="AA49" s="60"/>
      <c r="AB49" s="51" t="str">
        <f t="shared" si="12"/>
        <v/>
      </c>
      <c r="AC49" s="58" t="str">
        <f t="shared" si="13"/>
        <v/>
      </c>
      <c r="AD49" s="80" t="str">
        <f>IF('2027'!$M$53="","",'2027'!$M$53)</f>
        <v/>
      </c>
      <c r="AE49" s="49" t="str">
        <f>IF('2027'!$N$53="","",'2027'!$N$53)</f>
        <v/>
      </c>
      <c r="AF49" s="80">
        <f>IF('2027'!$O$53="","",'2027'!$O$53)</f>
        <v>0</v>
      </c>
      <c r="AG49" s="86"/>
      <c r="AH49" s="86"/>
      <c r="AI49" s="80" t="str">
        <f>IF('2027'!$Q$53="","",'2027'!$Q$53)</f>
        <v/>
      </c>
      <c r="AJ49" s="80" t="str">
        <f t="shared" si="14"/>
        <v/>
      </c>
      <c r="AK49" s="80" t="str">
        <f t="shared" si="15"/>
        <v/>
      </c>
      <c r="AL49" s="80">
        <f>IF('2027'!$R$53="","",'2027'!$R$53)</f>
        <v>0</v>
      </c>
      <c r="AM49" s="89">
        <f t="shared" ref="AM49:AN49" si="86">IFERROR(AI49-AJ49,0)</f>
        <v>0</v>
      </c>
      <c r="AN49" s="89">
        <f t="shared" si="86"/>
        <v>0</v>
      </c>
      <c r="AO49" s="91">
        <f>IF('2027'!$S$53="","",'2027'!$S$53)</f>
        <v>0</v>
      </c>
      <c r="AP49" s="92">
        <f t="shared" si="17"/>
        <v>0</v>
      </c>
      <c r="AQ49" s="86" t="str">
        <f t="shared" si="18"/>
        <v/>
      </c>
      <c r="AR49" s="80" t="str">
        <f>IF('2027'!$T$53="","",'2027'!$T$53)</f>
        <v/>
      </c>
      <c r="AS49" s="80">
        <f>IF('2027'!$U$53="","",'2027'!$U$53)</f>
        <v>0</v>
      </c>
      <c r="AT49" s="86" t="str">
        <f t="shared" si="19"/>
        <v/>
      </c>
      <c r="AU49" s="86"/>
      <c r="AV49" s="96" t="str">
        <f t="shared" si="20"/>
        <v/>
      </c>
      <c r="AW49" s="97" t="str">
        <f t="shared" si="21"/>
        <v/>
      </c>
      <c r="AX49" s="97" t="str">
        <f t="shared" si="22"/>
        <v/>
      </c>
      <c r="AY49" s="60" t="str">
        <f t="shared" si="23"/>
        <v/>
      </c>
      <c r="AZ49" s="97" t="str">
        <f t="shared" si="24"/>
        <v/>
      </c>
      <c r="BA49" s="49" t="str">
        <f t="shared" si="25"/>
        <v/>
      </c>
      <c r="BB49" s="80" t="str">
        <f t="shared" si="26"/>
        <v/>
      </c>
      <c r="BC49" s="80" t="str">
        <f t="shared" si="27"/>
        <v/>
      </c>
      <c r="BD49" s="89">
        <f t="shared" si="28"/>
        <v>0</v>
      </c>
      <c r="BE49" s="60" t="str">
        <f t="shared" si="29"/>
        <v/>
      </c>
      <c r="BF49" s="102" t="str">
        <f t="shared" si="30"/>
        <v/>
      </c>
      <c r="BG49" s="103">
        <f t="shared" si="31"/>
        <v>-46258</v>
      </c>
      <c r="BH49" s="104" t="str">
        <f t="shared" si="32"/>
        <v/>
      </c>
      <c r="BI49" s="104" t="str">
        <f t="shared" si="33"/>
        <v/>
      </c>
      <c r="BJ49" s="104" t="str">
        <f t="shared" si="34"/>
        <v/>
      </c>
      <c r="BK49" s="104" t="str">
        <f t="shared" si="35"/>
        <v/>
      </c>
      <c r="BL49" s="104" t="str">
        <f t="shared" si="36"/>
        <v/>
      </c>
      <c r="BM49" s="57" t="str">
        <f>IF('2027'!$V$53="","",'2027'!$V$53)</f>
        <v/>
      </c>
      <c r="BN49" s="80" t="str">
        <f t="shared" si="37"/>
        <v/>
      </c>
      <c r="BO49" s="80" t="str">
        <f t="shared" si="38"/>
        <v/>
      </c>
      <c r="BP49" s="80" t="str">
        <f t="shared" si="39"/>
        <v/>
      </c>
      <c r="BQ49" s="80" t="str">
        <f t="shared" si="40"/>
        <v/>
      </c>
      <c r="BR49" s="80" t="str">
        <f t="shared" si="41"/>
        <v/>
      </c>
      <c r="BS49" s="116" t="str">
        <f t="shared" si="42"/>
        <v/>
      </c>
    </row>
    <row r="50" ht="15.0" customHeight="1">
      <c r="A50" s="49" t="str">
        <f>IF('2027'!$E$54="","",'2027'!$E$54)</f>
        <v/>
      </c>
      <c r="B50" s="50"/>
      <c r="C50" s="51" t="str">
        <f>IF('2027'!$B$54="","",'2027'!$B$54)</f>
        <v/>
      </c>
      <c r="D50" s="51" t="str">
        <f>IF('2027'!$C$54="","",'2027'!$C$54)</f>
        <v/>
      </c>
      <c r="E50" s="51" t="str">
        <f>IF('2027'!$D$54="","",'2027'!$D$54)</f>
        <v/>
      </c>
      <c r="F50" s="51" t="str">
        <f>IF('2027'!$E$54="","",'2027'!$E$54)</f>
        <v/>
      </c>
      <c r="G50" s="51" t="str">
        <f>IF('2027'!$F$54="","",'2027'!$F$54)</f>
        <v/>
      </c>
      <c r="H50" s="57" t="str">
        <f>IF('2027'!$H$54="","",'2027'!$H$54)</f>
        <v/>
      </c>
      <c r="I50" s="58"/>
      <c r="J50" s="51" t="str">
        <f>IF('2027'!$I$54="","",'2027'!$I$54)</f>
        <v/>
      </c>
      <c r="K50" s="51" t="str">
        <f t="shared" si="2"/>
        <v/>
      </c>
      <c r="L50" s="51" t="str">
        <f>IF('2027'!$J$54="","",'2027'!$J$54)</f>
        <v/>
      </c>
      <c r="M50" s="60" t="str">
        <f>IF('2027'!$K$54="","",'2027'!$K$54)</f>
        <v/>
      </c>
      <c r="N50" s="60" t="str">
        <f>IF('2027'!$L$54="","",'2027'!$L$54)</f>
        <v/>
      </c>
      <c r="O50" s="58" t="str">
        <f t="shared" si="3"/>
        <v/>
      </c>
      <c r="P50" s="58"/>
      <c r="Q50" s="51" t="str">
        <f t="shared" si="4"/>
        <v/>
      </c>
      <c r="R50" s="51" t="str">
        <f t="shared" si="5"/>
        <v/>
      </c>
      <c r="S50" s="58" t="str">
        <f t="shared" si="6"/>
        <v/>
      </c>
      <c r="T50" s="51" t="str">
        <f t="shared" si="7"/>
        <v/>
      </c>
      <c r="U50" s="50" t="str">
        <f t="shared" si="8"/>
        <v/>
      </c>
      <c r="V50" s="58" t="str">
        <f>IF('2027'!$G$54="","",'2027'!$G$54)</f>
        <v/>
      </c>
      <c r="W50" s="58"/>
      <c r="X50" s="51" t="str">
        <f t="shared" si="9"/>
        <v/>
      </c>
      <c r="Y50" s="51" t="str">
        <f t="shared" si="10"/>
        <v/>
      </c>
      <c r="Z50" s="80" t="str">
        <f t="shared" si="11"/>
        <v/>
      </c>
      <c r="AA50" s="60"/>
      <c r="AB50" s="51" t="str">
        <f t="shared" si="12"/>
        <v/>
      </c>
      <c r="AC50" s="58" t="str">
        <f t="shared" si="13"/>
        <v/>
      </c>
      <c r="AD50" s="80" t="str">
        <f>IF('2027'!$M$54="","",'2027'!$M$54)</f>
        <v/>
      </c>
      <c r="AE50" s="49" t="str">
        <f>IF('2027'!$N$54="","",'2027'!$N$54)</f>
        <v/>
      </c>
      <c r="AF50" s="80">
        <f>IF('2027'!$O$54="","",'2027'!$O$54)</f>
        <v>0</v>
      </c>
      <c r="AG50" s="86"/>
      <c r="AH50" s="86"/>
      <c r="AI50" s="80" t="str">
        <f>IF('2027'!$Q$54="","",'2027'!$Q$54)</f>
        <v/>
      </c>
      <c r="AJ50" s="80" t="str">
        <f t="shared" si="14"/>
        <v/>
      </c>
      <c r="AK50" s="80" t="str">
        <f t="shared" si="15"/>
        <v/>
      </c>
      <c r="AL50" s="80">
        <f>IF('2027'!$R$54="","",'2027'!$R$54)</f>
        <v>0</v>
      </c>
      <c r="AM50" s="89">
        <f t="shared" ref="AM50:AN50" si="87">IFERROR(AI50-AJ50,0)</f>
        <v>0</v>
      </c>
      <c r="AN50" s="89">
        <f t="shared" si="87"/>
        <v>0</v>
      </c>
      <c r="AO50" s="91">
        <f>IF('2027'!$S$54="","",'2027'!$S$54)</f>
        <v>0</v>
      </c>
      <c r="AP50" s="92">
        <f t="shared" si="17"/>
        <v>0</v>
      </c>
      <c r="AQ50" s="86" t="str">
        <f t="shared" si="18"/>
        <v/>
      </c>
      <c r="AR50" s="80" t="str">
        <f>IF('2027'!$T$54="","",'2027'!$T$54)</f>
        <v/>
      </c>
      <c r="AS50" s="80">
        <f>IF('2027'!$U$54="","",'2027'!$U$54)</f>
        <v>0</v>
      </c>
      <c r="AT50" s="86" t="str">
        <f t="shared" si="19"/>
        <v/>
      </c>
      <c r="AU50" s="86"/>
      <c r="AV50" s="96" t="str">
        <f t="shared" si="20"/>
        <v/>
      </c>
      <c r="AW50" s="97" t="str">
        <f t="shared" si="21"/>
        <v/>
      </c>
      <c r="AX50" s="97" t="str">
        <f t="shared" si="22"/>
        <v/>
      </c>
      <c r="AY50" s="60" t="str">
        <f t="shared" si="23"/>
        <v/>
      </c>
      <c r="AZ50" s="97" t="str">
        <f t="shared" si="24"/>
        <v/>
      </c>
      <c r="BA50" s="49" t="str">
        <f t="shared" si="25"/>
        <v/>
      </c>
      <c r="BB50" s="80" t="str">
        <f t="shared" si="26"/>
        <v/>
      </c>
      <c r="BC50" s="80" t="str">
        <f t="shared" si="27"/>
        <v/>
      </c>
      <c r="BD50" s="89">
        <f t="shared" si="28"/>
        <v>0</v>
      </c>
      <c r="BE50" s="60" t="str">
        <f t="shared" si="29"/>
        <v/>
      </c>
      <c r="BF50" s="102" t="str">
        <f t="shared" si="30"/>
        <v/>
      </c>
      <c r="BG50" s="103">
        <f t="shared" si="31"/>
        <v>-46258</v>
      </c>
      <c r="BH50" s="104" t="str">
        <f t="shared" si="32"/>
        <v/>
      </c>
      <c r="BI50" s="104" t="str">
        <f t="shared" si="33"/>
        <v/>
      </c>
      <c r="BJ50" s="104" t="str">
        <f t="shared" si="34"/>
        <v/>
      </c>
      <c r="BK50" s="104" t="str">
        <f t="shared" si="35"/>
        <v/>
      </c>
      <c r="BL50" s="104" t="str">
        <f t="shared" si="36"/>
        <v/>
      </c>
      <c r="BM50" s="57" t="str">
        <f>IF('2027'!$V$54="","",'2027'!$V$54)</f>
        <v/>
      </c>
      <c r="BN50" s="80" t="str">
        <f t="shared" si="37"/>
        <v/>
      </c>
      <c r="BO50" s="80" t="str">
        <f t="shared" si="38"/>
        <v/>
      </c>
      <c r="BP50" s="80" t="str">
        <f t="shared" si="39"/>
        <v/>
      </c>
      <c r="BQ50" s="80" t="str">
        <f t="shared" si="40"/>
        <v/>
      </c>
      <c r="BR50" s="80" t="str">
        <f t="shared" si="41"/>
        <v/>
      </c>
      <c r="BS50" s="116" t="str">
        <f t="shared" si="42"/>
        <v/>
      </c>
    </row>
    <row r="51" ht="15.0" customHeight="1">
      <c r="A51" s="49" t="str">
        <f>IF('2027'!$E$55="","",'2027'!$E$55)</f>
        <v/>
      </c>
      <c r="B51" s="50"/>
      <c r="C51" s="51" t="str">
        <f>IF('2027'!$B$55="","",'2027'!$B$55)</f>
        <v/>
      </c>
      <c r="D51" s="51" t="str">
        <f>IF('2027'!$C$55="","",'2027'!$C$55)</f>
        <v/>
      </c>
      <c r="E51" s="51" t="str">
        <f>IF('2027'!$D$55="","",'2027'!$D$55)</f>
        <v/>
      </c>
      <c r="F51" s="51" t="str">
        <f>IF('2027'!$E$55="","",'2027'!$E$55)</f>
        <v/>
      </c>
      <c r="G51" s="51" t="str">
        <f>IF('2027'!$F$55="","",'2027'!$F$55)</f>
        <v/>
      </c>
      <c r="H51" s="57" t="str">
        <f>IF('2027'!$H$55="","",'2027'!$H$55)</f>
        <v/>
      </c>
      <c r="I51" s="58"/>
      <c r="J51" s="51" t="str">
        <f>IF('2027'!$I$55="","",'2027'!$I$55)</f>
        <v/>
      </c>
      <c r="K51" s="51" t="str">
        <f t="shared" si="2"/>
        <v/>
      </c>
      <c r="L51" s="51" t="str">
        <f>IF('2027'!$J$55="","",'2027'!$J$55)</f>
        <v/>
      </c>
      <c r="M51" s="60" t="str">
        <f>IF('2027'!$K$55="","",'2027'!$K$55)</f>
        <v/>
      </c>
      <c r="N51" s="60" t="str">
        <f>IF('2027'!$L$55="","",'2027'!$L$55)</f>
        <v/>
      </c>
      <c r="O51" s="58" t="str">
        <f t="shared" si="3"/>
        <v/>
      </c>
      <c r="P51" s="58"/>
      <c r="Q51" s="51" t="str">
        <f t="shared" si="4"/>
        <v/>
      </c>
      <c r="R51" s="51" t="str">
        <f t="shared" si="5"/>
        <v/>
      </c>
      <c r="S51" s="58" t="str">
        <f t="shared" si="6"/>
        <v/>
      </c>
      <c r="T51" s="51" t="str">
        <f t="shared" si="7"/>
        <v/>
      </c>
      <c r="U51" s="50" t="str">
        <f t="shared" si="8"/>
        <v/>
      </c>
      <c r="V51" s="58" t="str">
        <f>IF('2027'!$G$55="","",'2027'!$G$55)</f>
        <v/>
      </c>
      <c r="W51" s="58"/>
      <c r="X51" s="51" t="str">
        <f t="shared" si="9"/>
        <v/>
      </c>
      <c r="Y51" s="51" t="str">
        <f t="shared" si="10"/>
        <v/>
      </c>
      <c r="Z51" s="80" t="str">
        <f t="shared" si="11"/>
        <v/>
      </c>
      <c r="AA51" s="60"/>
      <c r="AB51" s="51" t="str">
        <f t="shared" si="12"/>
        <v/>
      </c>
      <c r="AC51" s="58" t="str">
        <f t="shared" si="13"/>
        <v/>
      </c>
      <c r="AD51" s="80" t="str">
        <f>IF('2027'!$M$55="","",'2027'!$M$55)</f>
        <v/>
      </c>
      <c r="AE51" s="49" t="str">
        <f>IF('2027'!$N$55="","",'2027'!$N$55)</f>
        <v/>
      </c>
      <c r="AF51" s="80">
        <f>IF('2027'!$O$55="","",'2027'!$O$55)</f>
        <v>0</v>
      </c>
      <c r="AG51" s="86"/>
      <c r="AH51" s="86"/>
      <c r="AI51" s="80" t="str">
        <f>IF('2027'!$Q$55="","",'2027'!$Q$55)</f>
        <v/>
      </c>
      <c r="AJ51" s="80" t="str">
        <f t="shared" si="14"/>
        <v/>
      </c>
      <c r="AK51" s="80" t="str">
        <f t="shared" si="15"/>
        <v/>
      </c>
      <c r="AL51" s="80">
        <f>IF('2027'!$R$55="","",'2027'!$R$55)</f>
        <v>0</v>
      </c>
      <c r="AM51" s="89">
        <f t="shared" ref="AM51:AN51" si="88">IFERROR(AI51-AJ51,0)</f>
        <v>0</v>
      </c>
      <c r="AN51" s="89">
        <f t="shared" si="88"/>
        <v>0</v>
      </c>
      <c r="AO51" s="91">
        <f>IF('2027'!$S$55="","",'2027'!$S$55)</f>
        <v>0</v>
      </c>
      <c r="AP51" s="92">
        <f t="shared" si="17"/>
        <v>0</v>
      </c>
      <c r="AQ51" s="86" t="str">
        <f t="shared" si="18"/>
        <v/>
      </c>
      <c r="AR51" s="80" t="str">
        <f>IF('2027'!$T$55="","",'2027'!$T$55)</f>
        <v/>
      </c>
      <c r="AS51" s="80">
        <f>IF('2027'!$U$55="","",'2027'!$U$55)</f>
        <v>0</v>
      </c>
      <c r="AT51" s="86" t="str">
        <f t="shared" si="19"/>
        <v/>
      </c>
      <c r="AU51" s="86"/>
      <c r="AV51" s="96" t="str">
        <f t="shared" si="20"/>
        <v/>
      </c>
      <c r="AW51" s="97" t="str">
        <f t="shared" si="21"/>
        <v/>
      </c>
      <c r="AX51" s="97" t="str">
        <f t="shared" si="22"/>
        <v/>
      </c>
      <c r="AY51" s="60" t="str">
        <f t="shared" si="23"/>
        <v/>
      </c>
      <c r="AZ51" s="97" t="str">
        <f t="shared" si="24"/>
        <v/>
      </c>
      <c r="BA51" s="49" t="str">
        <f t="shared" si="25"/>
        <v/>
      </c>
      <c r="BB51" s="80" t="str">
        <f t="shared" si="26"/>
        <v/>
      </c>
      <c r="BC51" s="80" t="str">
        <f t="shared" si="27"/>
        <v/>
      </c>
      <c r="BD51" s="89">
        <f t="shared" si="28"/>
        <v>0</v>
      </c>
      <c r="BE51" s="60" t="str">
        <f t="shared" si="29"/>
        <v/>
      </c>
      <c r="BF51" s="102" t="str">
        <f t="shared" si="30"/>
        <v/>
      </c>
      <c r="BG51" s="103">
        <f t="shared" si="31"/>
        <v>-46258</v>
      </c>
      <c r="BH51" s="104" t="str">
        <f t="shared" si="32"/>
        <v/>
      </c>
      <c r="BI51" s="104" t="str">
        <f t="shared" si="33"/>
        <v/>
      </c>
      <c r="BJ51" s="104" t="str">
        <f t="shared" si="34"/>
        <v/>
      </c>
      <c r="BK51" s="104" t="str">
        <f t="shared" si="35"/>
        <v/>
      </c>
      <c r="BL51" s="104" t="str">
        <f t="shared" si="36"/>
        <v/>
      </c>
      <c r="BM51" s="57" t="str">
        <f>IF('2027'!$V$55="","",'2027'!$V$55)</f>
        <v/>
      </c>
      <c r="BN51" s="80" t="str">
        <f t="shared" si="37"/>
        <v/>
      </c>
      <c r="BO51" s="80" t="str">
        <f t="shared" si="38"/>
        <v/>
      </c>
      <c r="BP51" s="80" t="str">
        <f t="shared" si="39"/>
        <v/>
      </c>
      <c r="BQ51" s="80" t="str">
        <f t="shared" si="40"/>
        <v/>
      </c>
      <c r="BR51" s="80" t="str">
        <f t="shared" si="41"/>
        <v/>
      </c>
      <c r="BS51" s="116" t="str">
        <f t="shared" si="42"/>
        <v/>
      </c>
    </row>
    <row r="52" ht="15.0" customHeight="1">
      <c r="A52" s="49" t="str">
        <f>IF('2027'!$E$56="","",'2027'!$E$56)</f>
        <v/>
      </c>
      <c r="B52" s="50"/>
      <c r="C52" s="51" t="str">
        <f>IF('2027'!$B$56="","",'2027'!$B$56)</f>
        <v/>
      </c>
      <c r="D52" s="51" t="str">
        <f>IF('2027'!$C$56="","",'2027'!$C$56)</f>
        <v/>
      </c>
      <c r="E52" s="51" t="str">
        <f>IF('2027'!$D$56="","",'2027'!$D$56)</f>
        <v/>
      </c>
      <c r="F52" s="51" t="str">
        <f>IF('2027'!$E$56="","",'2027'!$E$56)</f>
        <v/>
      </c>
      <c r="G52" s="51" t="str">
        <f>IF('2027'!$F$56="","",'2027'!$F$56)</f>
        <v/>
      </c>
      <c r="H52" s="57" t="str">
        <f>IF('2027'!$H$56="","",'2027'!$H$56)</f>
        <v/>
      </c>
      <c r="I52" s="58"/>
      <c r="J52" s="51" t="str">
        <f>IF('2027'!$I$56="","",'2027'!$I$56)</f>
        <v/>
      </c>
      <c r="K52" s="51" t="str">
        <f t="shared" si="2"/>
        <v/>
      </c>
      <c r="L52" s="51" t="str">
        <f>IF('2027'!$J$56="","",'2027'!$J$56)</f>
        <v/>
      </c>
      <c r="M52" s="60" t="str">
        <f>IF('2027'!$K$56="","",'2027'!$K$56)</f>
        <v/>
      </c>
      <c r="N52" s="60" t="str">
        <f>IF('2027'!$L$56="","",'2027'!$L$56)</f>
        <v/>
      </c>
      <c r="O52" s="58" t="str">
        <f t="shared" si="3"/>
        <v/>
      </c>
      <c r="P52" s="58"/>
      <c r="Q52" s="51" t="str">
        <f t="shared" si="4"/>
        <v/>
      </c>
      <c r="R52" s="51" t="str">
        <f t="shared" si="5"/>
        <v/>
      </c>
      <c r="S52" s="58" t="str">
        <f t="shared" si="6"/>
        <v/>
      </c>
      <c r="T52" s="51" t="str">
        <f t="shared" si="7"/>
        <v/>
      </c>
      <c r="U52" s="50" t="str">
        <f t="shared" si="8"/>
        <v/>
      </c>
      <c r="V52" s="58" t="str">
        <f>IF('2027'!$G$56="","",'2027'!$G$56)</f>
        <v/>
      </c>
      <c r="W52" s="58"/>
      <c r="X52" s="51" t="str">
        <f t="shared" si="9"/>
        <v/>
      </c>
      <c r="Y52" s="51" t="str">
        <f t="shared" si="10"/>
        <v/>
      </c>
      <c r="Z52" s="80" t="str">
        <f t="shared" si="11"/>
        <v/>
      </c>
      <c r="AA52" s="60"/>
      <c r="AB52" s="51" t="str">
        <f t="shared" si="12"/>
        <v/>
      </c>
      <c r="AC52" s="58" t="str">
        <f t="shared" si="13"/>
        <v/>
      </c>
      <c r="AD52" s="80" t="str">
        <f>IF('2027'!$M$56="","",'2027'!$M$56)</f>
        <v/>
      </c>
      <c r="AE52" s="49" t="str">
        <f>IF('2027'!$N$56="","",'2027'!$N$56)</f>
        <v/>
      </c>
      <c r="AF52" s="80">
        <f>IF('2027'!$O$56="","",'2027'!$O$56)</f>
        <v>0</v>
      </c>
      <c r="AG52" s="86"/>
      <c r="AH52" s="86"/>
      <c r="AI52" s="80" t="str">
        <f>IF('2027'!$Q$56="","",'2027'!$Q$56)</f>
        <v/>
      </c>
      <c r="AJ52" s="80" t="str">
        <f t="shared" si="14"/>
        <v/>
      </c>
      <c r="AK52" s="80" t="str">
        <f t="shared" si="15"/>
        <v/>
      </c>
      <c r="AL52" s="80">
        <f>IF('2027'!$R$56="","",'2027'!$R$56)</f>
        <v>0</v>
      </c>
      <c r="AM52" s="89">
        <f t="shared" ref="AM52:AN52" si="89">IFERROR(AI52-AJ52,0)</f>
        <v>0</v>
      </c>
      <c r="AN52" s="89">
        <f t="shared" si="89"/>
        <v>0</v>
      </c>
      <c r="AO52" s="91">
        <f>IF('2027'!$S$56="","",'2027'!$S$56)</f>
        <v>0</v>
      </c>
      <c r="AP52" s="92">
        <f t="shared" si="17"/>
        <v>0</v>
      </c>
      <c r="AQ52" s="86" t="str">
        <f t="shared" si="18"/>
        <v/>
      </c>
      <c r="AR52" s="80" t="str">
        <f>IF('2027'!$T$56="","",'2027'!$T$56)</f>
        <v/>
      </c>
      <c r="AS52" s="80">
        <f>IF('2027'!$U$56="","",'2027'!$U$56)</f>
        <v>0</v>
      </c>
      <c r="AT52" s="86" t="str">
        <f t="shared" si="19"/>
        <v/>
      </c>
      <c r="AU52" s="86"/>
      <c r="AV52" s="96" t="str">
        <f t="shared" si="20"/>
        <v/>
      </c>
      <c r="AW52" s="97" t="str">
        <f t="shared" si="21"/>
        <v/>
      </c>
      <c r="AX52" s="97" t="str">
        <f t="shared" si="22"/>
        <v/>
      </c>
      <c r="AY52" s="60" t="str">
        <f t="shared" si="23"/>
        <v/>
      </c>
      <c r="AZ52" s="97" t="str">
        <f t="shared" si="24"/>
        <v/>
      </c>
      <c r="BA52" s="49" t="str">
        <f t="shared" si="25"/>
        <v/>
      </c>
      <c r="BB52" s="80" t="str">
        <f t="shared" si="26"/>
        <v/>
      </c>
      <c r="BC52" s="80" t="str">
        <f t="shared" si="27"/>
        <v/>
      </c>
      <c r="BD52" s="89">
        <f t="shared" si="28"/>
        <v>0</v>
      </c>
      <c r="BE52" s="60" t="str">
        <f t="shared" si="29"/>
        <v/>
      </c>
      <c r="BF52" s="102" t="str">
        <f t="shared" si="30"/>
        <v/>
      </c>
      <c r="BG52" s="103">
        <f t="shared" si="31"/>
        <v>-46258</v>
      </c>
      <c r="BH52" s="104" t="str">
        <f t="shared" si="32"/>
        <v/>
      </c>
      <c r="BI52" s="104" t="str">
        <f t="shared" si="33"/>
        <v/>
      </c>
      <c r="BJ52" s="104" t="str">
        <f t="shared" si="34"/>
        <v/>
      </c>
      <c r="BK52" s="104" t="str">
        <f t="shared" si="35"/>
        <v/>
      </c>
      <c r="BL52" s="104" t="str">
        <f t="shared" si="36"/>
        <v/>
      </c>
      <c r="BM52" s="57" t="str">
        <f>IF('2027'!$V$56="","",'2027'!$V$56)</f>
        <v/>
      </c>
      <c r="BN52" s="80" t="str">
        <f t="shared" si="37"/>
        <v/>
      </c>
      <c r="BO52" s="80" t="str">
        <f t="shared" si="38"/>
        <v/>
      </c>
      <c r="BP52" s="80" t="str">
        <f t="shared" si="39"/>
        <v/>
      </c>
      <c r="BQ52" s="80" t="str">
        <f t="shared" si="40"/>
        <v/>
      </c>
      <c r="BR52" s="80" t="str">
        <f t="shared" si="41"/>
        <v/>
      </c>
      <c r="BS52" s="116" t="str">
        <f t="shared" si="42"/>
        <v/>
      </c>
    </row>
    <row r="53" ht="15.0" customHeight="1">
      <c r="A53" s="49" t="str">
        <f>IF('2027'!$E$57="","",'2027'!$E$57)</f>
        <v/>
      </c>
      <c r="B53" s="50"/>
      <c r="C53" s="51" t="str">
        <f>IF('2027'!$B$57="","",'2027'!$B$57)</f>
        <v/>
      </c>
      <c r="D53" s="51" t="str">
        <f>IF('2027'!$C$57="","",'2027'!$C$57)</f>
        <v/>
      </c>
      <c r="E53" s="51" t="str">
        <f>IF('2027'!$D$57="","",'2027'!$D$57)</f>
        <v/>
      </c>
      <c r="F53" s="51" t="str">
        <f>IF('2027'!$E$57="","",'2027'!$E$57)</f>
        <v/>
      </c>
      <c r="G53" s="51" t="str">
        <f>IF('2027'!$F$57="","",'2027'!$F$57)</f>
        <v/>
      </c>
      <c r="H53" s="57" t="str">
        <f>IF('2027'!$H$57="","",'2027'!$H$57)</f>
        <v/>
      </c>
      <c r="I53" s="58"/>
      <c r="J53" s="51" t="str">
        <f>IF('2027'!$I$57="","",'2027'!$I$57)</f>
        <v/>
      </c>
      <c r="K53" s="51" t="str">
        <f t="shared" si="2"/>
        <v/>
      </c>
      <c r="L53" s="51" t="str">
        <f>IF('2027'!$J$57="","",'2027'!$J$57)</f>
        <v/>
      </c>
      <c r="M53" s="60" t="str">
        <f>IF('2027'!$K$57="","",'2027'!$K$57)</f>
        <v/>
      </c>
      <c r="N53" s="60" t="str">
        <f>IF('2027'!$L$57="","",'2027'!$L$57)</f>
        <v/>
      </c>
      <c r="O53" s="58" t="str">
        <f t="shared" si="3"/>
        <v/>
      </c>
      <c r="P53" s="58"/>
      <c r="Q53" s="51" t="str">
        <f t="shared" si="4"/>
        <v/>
      </c>
      <c r="R53" s="51" t="str">
        <f t="shared" si="5"/>
        <v/>
      </c>
      <c r="S53" s="58" t="str">
        <f t="shared" si="6"/>
        <v/>
      </c>
      <c r="T53" s="51" t="str">
        <f t="shared" si="7"/>
        <v/>
      </c>
      <c r="U53" s="50" t="str">
        <f t="shared" si="8"/>
        <v/>
      </c>
      <c r="V53" s="58" t="str">
        <f>IF('2027'!$G$57="","",'2027'!$G$57)</f>
        <v/>
      </c>
      <c r="W53" s="58"/>
      <c r="X53" s="51" t="str">
        <f t="shared" si="9"/>
        <v/>
      </c>
      <c r="Y53" s="51" t="str">
        <f t="shared" si="10"/>
        <v/>
      </c>
      <c r="Z53" s="80" t="str">
        <f t="shared" si="11"/>
        <v/>
      </c>
      <c r="AA53" s="60"/>
      <c r="AB53" s="51" t="str">
        <f t="shared" si="12"/>
        <v/>
      </c>
      <c r="AC53" s="58" t="str">
        <f t="shared" si="13"/>
        <v/>
      </c>
      <c r="AD53" s="80" t="str">
        <f>IF('2027'!$M$57="","",'2027'!$M$57)</f>
        <v/>
      </c>
      <c r="AE53" s="49" t="str">
        <f>IF('2027'!$N$57="","",'2027'!$N$57)</f>
        <v/>
      </c>
      <c r="AF53" s="80">
        <f>IF('2027'!$O$57="","",'2027'!$O$57)</f>
        <v>0</v>
      </c>
      <c r="AG53" s="86"/>
      <c r="AH53" s="86"/>
      <c r="AI53" s="80" t="str">
        <f>IF('2027'!$Q$57="","",'2027'!$Q$57)</f>
        <v/>
      </c>
      <c r="AJ53" s="80" t="str">
        <f t="shared" si="14"/>
        <v/>
      </c>
      <c r="AK53" s="80" t="str">
        <f t="shared" si="15"/>
        <v/>
      </c>
      <c r="AL53" s="80">
        <f>IF('2027'!$R$57="","",'2027'!$R$57)</f>
        <v>0</v>
      </c>
      <c r="AM53" s="89">
        <f t="shared" ref="AM53:AN53" si="90">IFERROR(AI53-AJ53,0)</f>
        <v>0</v>
      </c>
      <c r="AN53" s="89">
        <f t="shared" si="90"/>
        <v>0</v>
      </c>
      <c r="AO53" s="91">
        <f>IF('2027'!$S$57="","",'2027'!$S$57)</f>
        <v>0</v>
      </c>
      <c r="AP53" s="92">
        <f t="shared" si="17"/>
        <v>0</v>
      </c>
      <c r="AQ53" s="86" t="str">
        <f t="shared" si="18"/>
        <v/>
      </c>
      <c r="AR53" s="80" t="str">
        <f>IF('2027'!$T$57="","",'2027'!$T$57)</f>
        <v/>
      </c>
      <c r="AS53" s="80">
        <f>IF('2027'!$U$57="","",'2027'!$U$57)</f>
        <v>0</v>
      </c>
      <c r="AT53" s="86" t="str">
        <f t="shared" si="19"/>
        <v/>
      </c>
      <c r="AU53" s="86"/>
      <c r="AV53" s="96" t="str">
        <f t="shared" si="20"/>
        <v/>
      </c>
      <c r="AW53" s="97" t="str">
        <f t="shared" si="21"/>
        <v/>
      </c>
      <c r="AX53" s="97" t="str">
        <f t="shared" si="22"/>
        <v/>
      </c>
      <c r="AY53" s="60" t="str">
        <f t="shared" si="23"/>
        <v/>
      </c>
      <c r="AZ53" s="97" t="str">
        <f t="shared" si="24"/>
        <v/>
      </c>
      <c r="BA53" s="49" t="str">
        <f t="shared" si="25"/>
        <v/>
      </c>
      <c r="BB53" s="80" t="str">
        <f t="shared" si="26"/>
        <v/>
      </c>
      <c r="BC53" s="80" t="str">
        <f t="shared" si="27"/>
        <v/>
      </c>
      <c r="BD53" s="89">
        <f t="shared" si="28"/>
        <v>0</v>
      </c>
      <c r="BE53" s="60" t="str">
        <f t="shared" si="29"/>
        <v/>
      </c>
      <c r="BF53" s="102" t="str">
        <f t="shared" si="30"/>
        <v/>
      </c>
      <c r="BG53" s="103">
        <f t="shared" si="31"/>
        <v>-46258</v>
      </c>
      <c r="BH53" s="104" t="str">
        <f t="shared" si="32"/>
        <v/>
      </c>
      <c r="BI53" s="104" t="str">
        <f t="shared" si="33"/>
        <v/>
      </c>
      <c r="BJ53" s="104" t="str">
        <f t="shared" si="34"/>
        <v/>
      </c>
      <c r="BK53" s="104" t="str">
        <f t="shared" si="35"/>
        <v/>
      </c>
      <c r="BL53" s="104" t="str">
        <f t="shared" si="36"/>
        <v/>
      </c>
      <c r="BM53" s="57" t="str">
        <f>IF('2027'!$V$57="","",'2027'!$V$57)</f>
        <v/>
      </c>
      <c r="BN53" s="80" t="str">
        <f t="shared" si="37"/>
        <v/>
      </c>
      <c r="BO53" s="80" t="str">
        <f t="shared" si="38"/>
        <v/>
      </c>
      <c r="BP53" s="80" t="str">
        <f t="shared" si="39"/>
        <v/>
      </c>
      <c r="BQ53" s="80" t="str">
        <f t="shared" si="40"/>
        <v/>
      </c>
      <c r="BR53" s="80" t="str">
        <f t="shared" si="41"/>
        <v/>
      </c>
      <c r="BS53" s="116" t="str">
        <f t="shared" si="42"/>
        <v/>
      </c>
    </row>
    <row r="54" ht="15.0" customHeight="1">
      <c r="A54" s="49" t="str">
        <f>IF('2027'!$E$58="","",'2027'!$E$58)</f>
        <v/>
      </c>
      <c r="B54" s="50"/>
      <c r="C54" s="51" t="str">
        <f>IF('2027'!$B$58="","",'2027'!$B$58)</f>
        <v/>
      </c>
      <c r="D54" s="51" t="str">
        <f>IF('2027'!$C$58="","",'2027'!$C$58)</f>
        <v/>
      </c>
      <c r="E54" s="51" t="str">
        <f>IF('2027'!$D$58="","",'2027'!$D$58)</f>
        <v/>
      </c>
      <c r="F54" s="51" t="str">
        <f>IF('2027'!$E$58="","",'2027'!$E$58)</f>
        <v/>
      </c>
      <c r="G54" s="51" t="str">
        <f>IF('2027'!$F$58="","",'2027'!$F$58)</f>
        <v/>
      </c>
      <c r="H54" s="57" t="str">
        <f>IF('2027'!$H$58="","",'2027'!$H$58)</f>
        <v/>
      </c>
      <c r="I54" s="58"/>
      <c r="J54" s="51" t="str">
        <f>IF('2027'!$I$58="","",'2027'!$I$58)</f>
        <v/>
      </c>
      <c r="K54" s="51" t="str">
        <f t="shared" si="2"/>
        <v/>
      </c>
      <c r="L54" s="51" t="str">
        <f>IF('2027'!$J$58="","",'2027'!$J$58)</f>
        <v/>
      </c>
      <c r="M54" s="60" t="str">
        <f>IF('2027'!$K$58="","",'2027'!$K$58)</f>
        <v/>
      </c>
      <c r="N54" s="60" t="str">
        <f>IF('2027'!$L$58="","",'2027'!$L$58)</f>
        <v/>
      </c>
      <c r="O54" s="58" t="str">
        <f t="shared" si="3"/>
        <v/>
      </c>
      <c r="P54" s="58"/>
      <c r="Q54" s="51" t="str">
        <f t="shared" si="4"/>
        <v/>
      </c>
      <c r="R54" s="51" t="str">
        <f t="shared" si="5"/>
        <v/>
      </c>
      <c r="S54" s="58" t="str">
        <f t="shared" si="6"/>
        <v/>
      </c>
      <c r="T54" s="51" t="str">
        <f t="shared" si="7"/>
        <v/>
      </c>
      <c r="U54" s="50" t="str">
        <f t="shared" si="8"/>
        <v/>
      </c>
      <c r="V54" s="58" t="str">
        <f>IF('2027'!$G$58="","",'2027'!$G$58)</f>
        <v/>
      </c>
      <c r="W54" s="58"/>
      <c r="X54" s="51" t="str">
        <f t="shared" si="9"/>
        <v/>
      </c>
      <c r="Y54" s="51" t="str">
        <f t="shared" si="10"/>
        <v/>
      </c>
      <c r="Z54" s="80" t="str">
        <f t="shared" si="11"/>
        <v/>
      </c>
      <c r="AA54" s="60"/>
      <c r="AB54" s="51" t="str">
        <f t="shared" si="12"/>
        <v/>
      </c>
      <c r="AC54" s="58" t="str">
        <f t="shared" si="13"/>
        <v/>
      </c>
      <c r="AD54" s="80" t="str">
        <f>IF('2027'!$M$58="","",'2027'!$M$58)</f>
        <v/>
      </c>
      <c r="AE54" s="49" t="str">
        <f>IF('2027'!$N$58="","",'2027'!$N$58)</f>
        <v/>
      </c>
      <c r="AF54" s="80">
        <f>IF('2027'!$O$58="","",'2027'!$O$58)</f>
        <v>0</v>
      </c>
      <c r="AG54" s="86"/>
      <c r="AH54" s="86"/>
      <c r="AI54" s="80" t="str">
        <f>IF('2027'!$Q$58="","",'2027'!$Q$58)</f>
        <v/>
      </c>
      <c r="AJ54" s="80" t="str">
        <f t="shared" si="14"/>
        <v/>
      </c>
      <c r="AK54" s="80" t="str">
        <f t="shared" si="15"/>
        <v/>
      </c>
      <c r="AL54" s="80">
        <f>IF('2027'!$R$58="","",'2027'!$R$58)</f>
        <v>0</v>
      </c>
      <c r="AM54" s="89">
        <f t="shared" ref="AM54:AN54" si="91">IFERROR(AI54-AJ54,0)</f>
        <v>0</v>
      </c>
      <c r="AN54" s="89">
        <f t="shared" si="91"/>
        <v>0</v>
      </c>
      <c r="AO54" s="91">
        <f>IF('2027'!$S$58="","",'2027'!$S$58)</f>
        <v>0</v>
      </c>
      <c r="AP54" s="92">
        <f t="shared" si="17"/>
        <v>0</v>
      </c>
      <c r="AQ54" s="86" t="str">
        <f t="shared" si="18"/>
        <v/>
      </c>
      <c r="AR54" s="80" t="str">
        <f>IF('2027'!$T$58="","",'2027'!$T$58)</f>
        <v/>
      </c>
      <c r="AS54" s="80">
        <f>IF('2027'!$U$58="","",'2027'!$U$58)</f>
        <v>0</v>
      </c>
      <c r="AT54" s="86" t="str">
        <f t="shared" si="19"/>
        <v/>
      </c>
      <c r="AU54" s="86"/>
      <c r="AV54" s="96" t="str">
        <f t="shared" si="20"/>
        <v/>
      </c>
      <c r="AW54" s="97" t="str">
        <f t="shared" si="21"/>
        <v/>
      </c>
      <c r="AX54" s="97" t="str">
        <f t="shared" si="22"/>
        <v/>
      </c>
      <c r="AY54" s="60" t="str">
        <f t="shared" si="23"/>
        <v/>
      </c>
      <c r="AZ54" s="97" t="str">
        <f t="shared" si="24"/>
        <v/>
      </c>
      <c r="BA54" s="49" t="str">
        <f t="shared" si="25"/>
        <v/>
      </c>
      <c r="BB54" s="80" t="str">
        <f t="shared" si="26"/>
        <v/>
      </c>
      <c r="BC54" s="80" t="str">
        <f t="shared" si="27"/>
        <v/>
      </c>
      <c r="BD54" s="89">
        <f t="shared" si="28"/>
        <v>0</v>
      </c>
      <c r="BE54" s="60" t="str">
        <f t="shared" si="29"/>
        <v/>
      </c>
      <c r="BF54" s="102" t="str">
        <f t="shared" si="30"/>
        <v/>
      </c>
      <c r="BG54" s="103">
        <f t="shared" si="31"/>
        <v>-46258</v>
      </c>
      <c r="BH54" s="104" t="str">
        <f t="shared" si="32"/>
        <v/>
      </c>
      <c r="BI54" s="104" t="str">
        <f t="shared" si="33"/>
        <v/>
      </c>
      <c r="BJ54" s="104" t="str">
        <f t="shared" si="34"/>
        <v/>
      </c>
      <c r="BK54" s="104" t="str">
        <f t="shared" si="35"/>
        <v/>
      </c>
      <c r="BL54" s="104" t="str">
        <f t="shared" si="36"/>
        <v/>
      </c>
      <c r="BM54" s="57" t="str">
        <f>IF('2027'!$V$58="","",'2027'!$V$58)</f>
        <v/>
      </c>
      <c r="BN54" s="80" t="str">
        <f t="shared" si="37"/>
        <v/>
      </c>
      <c r="BO54" s="80" t="str">
        <f t="shared" si="38"/>
        <v/>
      </c>
      <c r="BP54" s="80" t="str">
        <f t="shared" si="39"/>
        <v/>
      </c>
      <c r="BQ54" s="80" t="str">
        <f t="shared" si="40"/>
        <v/>
      </c>
      <c r="BR54" s="80" t="str">
        <f t="shared" si="41"/>
        <v/>
      </c>
      <c r="BS54" s="116" t="str">
        <f t="shared" si="42"/>
        <v/>
      </c>
    </row>
    <row r="55" ht="15.0" customHeight="1">
      <c r="A55" s="49" t="str">
        <f>IF('2027'!$E$59="","",'2027'!$E$59)</f>
        <v/>
      </c>
      <c r="B55" s="50"/>
      <c r="C55" s="51" t="str">
        <f>IF('2027'!$B$59="","",'2027'!$B$59)</f>
        <v/>
      </c>
      <c r="D55" s="51" t="str">
        <f>IF('2027'!$C$59="","",'2027'!$C$59)</f>
        <v/>
      </c>
      <c r="E55" s="51" t="str">
        <f>IF('2027'!$D$59="","",'2027'!$D$59)</f>
        <v/>
      </c>
      <c r="F55" s="51" t="str">
        <f>IF('2027'!$E$59="","",'2027'!$E$59)</f>
        <v/>
      </c>
      <c r="G55" s="51" t="str">
        <f>IF('2027'!$F$59="","",'2027'!$F$59)</f>
        <v/>
      </c>
      <c r="H55" s="57" t="str">
        <f>IF('2027'!$H$59="","",'2027'!$H$59)</f>
        <v/>
      </c>
      <c r="I55" s="58"/>
      <c r="J55" s="51" t="str">
        <f>IF('2027'!$I$59="","",'2027'!$I$59)</f>
        <v/>
      </c>
      <c r="K55" s="51" t="str">
        <f t="shared" si="2"/>
        <v/>
      </c>
      <c r="L55" s="51" t="str">
        <f>IF('2027'!$J$59="","",'2027'!$J$59)</f>
        <v/>
      </c>
      <c r="M55" s="60" t="str">
        <f>IF('2027'!$K$59="","",'2027'!$K$59)</f>
        <v/>
      </c>
      <c r="N55" s="60" t="str">
        <f>IF('2027'!$L$59="","",'2027'!$L$59)</f>
        <v/>
      </c>
      <c r="O55" s="58" t="str">
        <f t="shared" si="3"/>
        <v/>
      </c>
      <c r="P55" s="58"/>
      <c r="Q55" s="51" t="str">
        <f t="shared" si="4"/>
        <v/>
      </c>
      <c r="R55" s="51" t="str">
        <f t="shared" si="5"/>
        <v/>
      </c>
      <c r="S55" s="58" t="str">
        <f t="shared" si="6"/>
        <v/>
      </c>
      <c r="T55" s="51" t="str">
        <f t="shared" si="7"/>
        <v/>
      </c>
      <c r="U55" s="50" t="str">
        <f t="shared" si="8"/>
        <v/>
      </c>
      <c r="V55" s="58" t="str">
        <f>IF('2027'!$G$59="","",'2027'!$G$59)</f>
        <v/>
      </c>
      <c r="W55" s="58"/>
      <c r="X55" s="51" t="str">
        <f t="shared" si="9"/>
        <v/>
      </c>
      <c r="Y55" s="51" t="str">
        <f t="shared" si="10"/>
        <v/>
      </c>
      <c r="Z55" s="80" t="str">
        <f t="shared" si="11"/>
        <v/>
      </c>
      <c r="AA55" s="60"/>
      <c r="AB55" s="51" t="str">
        <f t="shared" si="12"/>
        <v/>
      </c>
      <c r="AC55" s="58" t="str">
        <f t="shared" si="13"/>
        <v/>
      </c>
      <c r="AD55" s="80" t="str">
        <f>IF('2027'!$M$59="","",'2027'!$M$59)</f>
        <v/>
      </c>
      <c r="AE55" s="49" t="str">
        <f>IF('2027'!$N$59="","",'2027'!$N$59)</f>
        <v/>
      </c>
      <c r="AF55" s="80">
        <f>IF('2027'!$O$59="","",'2027'!$O$59)</f>
        <v>0</v>
      </c>
      <c r="AG55" s="86"/>
      <c r="AH55" s="86"/>
      <c r="AI55" s="80" t="str">
        <f>IF('2027'!$Q$59="","",'2027'!$Q$59)</f>
        <v/>
      </c>
      <c r="AJ55" s="80" t="str">
        <f t="shared" si="14"/>
        <v/>
      </c>
      <c r="AK55" s="80" t="str">
        <f t="shared" si="15"/>
        <v/>
      </c>
      <c r="AL55" s="80">
        <f>IF('2027'!$R$59="","",'2027'!$R$59)</f>
        <v>0</v>
      </c>
      <c r="AM55" s="89">
        <f t="shared" ref="AM55:AN55" si="92">IFERROR(AI55-AJ55,0)</f>
        <v>0</v>
      </c>
      <c r="AN55" s="89">
        <f t="shared" si="92"/>
        <v>0</v>
      </c>
      <c r="AO55" s="91">
        <f>IF('2027'!$S$59="","",'2027'!$S$59)</f>
        <v>0</v>
      </c>
      <c r="AP55" s="92">
        <f t="shared" si="17"/>
        <v>0</v>
      </c>
      <c r="AQ55" s="86" t="str">
        <f t="shared" si="18"/>
        <v/>
      </c>
      <c r="AR55" s="80" t="str">
        <f>IF('2027'!$T$59="","",'2027'!$T$59)</f>
        <v/>
      </c>
      <c r="AS55" s="80">
        <f>IF('2027'!$U$59="","",'2027'!$U$59)</f>
        <v>0</v>
      </c>
      <c r="AT55" s="86" t="str">
        <f t="shared" si="19"/>
        <v/>
      </c>
      <c r="AU55" s="86"/>
      <c r="AV55" s="96" t="str">
        <f t="shared" si="20"/>
        <v/>
      </c>
      <c r="AW55" s="97" t="str">
        <f t="shared" si="21"/>
        <v/>
      </c>
      <c r="AX55" s="97" t="str">
        <f t="shared" si="22"/>
        <v/>
      </c>
      <c r="AY55" s="60" t="str">
        <f t="shared" si="23"/>
        <v/>
      </c>
      <c r="AZ55" s="97" t="str">
        <f t="shared" si="24"/>
        <v/>
      </c>
      <c r="BA55" s="49" t="str">
        <f t="shared" si="25"/>
        <v/>
      </c>
      <c r="BB55" s="80" t="str">
        <f t="shared" si="26"/>
        <v/>
      </c>
      <c r="BC55" s="80" t="str">
        <f t="shared" si="27"/>
        <v/>
      </c>
      <c r="BD55" s="89">
        <f t="shared" si="28"/>
        <v>0</v>
      </c>
      <c r="BE55" s="60" t="str">
        <f t="shared" si="29"/>
        <v/>
      </c>
      <c r="BF55" s="102" t="str">
        <f t="shared" si="30"/>
        <v/>
      </c>
      <c r="BG55" s="103">
        <f t="shared" si="31"/>
        <v>-46258</v>
      </c>
      <c r="BH55" s="104" t="str">
        <f t="shared" si="32"/>
        <v/>
      </c>
      <c r="BI55" s="104" t="str">
        <f t="shared" si="33"/>
        <v/>
      </c>
      <c r="BJ55" s="104" t="str">
        <f t="shared" si="34"/>
        <v/>
      </c>
      <c r="BK55" s="104" t="str">
        <f t="shared" si="35"/>
        <v/>
      </c>
      <c r="BL55" s="104" t="str">
        <f t="shared" si="36"/>
        <v/>
      </c>
      <c r="BM55" s="57" t="str">
        <f>IF('2027'!$V$59="","",'2027'!$V$59)</f>
        <v/>
      </c>
      <c r="BN55" s="80" t="str">
        <f t="shared" si="37"/>
        <v/>
      </c>
      <c r="BO55" s="80" t="str">
        <f t="shared" si="38"/>
        <v/>
      </c>
      <c r="BP55" s="80" t="str">
        <f t="shared" si="39"/>
        <v/>
      </c>
      <c r="BQ55" s="80" t="str">
        <f t="shared" si="40"/>
        <v/>
      </c>
      <c r="BR55" s="80" t="str">
        <f t="shared" si="41"/>
        <v/>
      </c>
      <c r="BS55" s="116" t="str">
        <f t="shared" si="42"/>
        <v/>
      </c>
    </row>
    <row r="56" ht="15.0" customHeight="1">
      <c r="A56" s="49" t="str">
        <f>IF('2027'!$E$60="","",'2027'!$E$60)</f>
        <v/>
      </c>
      <c r="B56" s="50"/>
      <c r="C56" s="51" t="str">
        <f>IF('2027'!$B$60="","",'2027'!$B$60)</f>
        <v/>
      </c>
      <c r="D56" s="51" t="str">
        <f>IF('2027'!$C$60="","",'2027'!$C$60)</f>
        <v/>
      </c>
      <c r="E56" s="51" t="str">
        <f>IF('2027'!$D$60="","",'2027'!$D$60)</f>
        <v/>
      </c>
      <c r="F56" s="51" t="str">
        <f>IF('2027'!$E$60="","",'2027'!$E$60)</f>
        <v/>
      </c>
      <c r="G56" s="51" t="str">
        <f>IF('2027'!$F$60="","",'2027'!$F$60)</f>
        <v/>
      </c>
      <c r="H56" s="57" t="str">
        <f>IF('2027'!$H$60="","",'2027'!$H$60)</f>
        <v/>
      </c>
      <c r="I56" s="58"/>
      <c r="J56" s="51" t="str">
        <f>IF('2027'!$I$60="","",'2027'!$I$60)</f>
        <v/>
      </c>
      <c r="K56" s="51" t="str">
        <f t="shared" si="2"/>
        <v/>
      </c>
      <c r="L56" s="51" t="str">
        <f>IF('2027'!$J$60="","",'2027'!$J$60)</f>
        <v/>
      </c>
      <c r="M56" s="60" t="str">
        <f>IF('2027'!$K$60="","",'2027'!$K$60)</f>
        <v/>
      </c>
      <c r="N56" s="60" t="str">
        <f>IF('2027'!$L$60="","",'2027'!$L$60)</f>
        <v/>
      </c>
      <c r="O56" s="58" t="str">
        <f t="shared" si="3"/>
        <v/>
      </c>
      <c r="P56" s="58"/>
      <c r="Q56" s="51" t="str">
        <f t="shared" si="4"/>
        <v/>
      </c>
      <c r="R56" s="51" t="str">
        <f t="shared" si="5"/>
        <v/>
      </c>
      <c r="S56" s="58" t="str">
        <f t="shared" si="6"/>
        <v/>
      </c>
      <c r="T56" s="51" t="str">
        <f t="shared" si="7"/>
        <v/>
      </c>
      <c r="U56" s="50" t="str">
        <f t="shared" si="8"/>
        <v/>
      </c>
      <c r="V56" s="58" t="str">
        <f>IF('2027'!$G$60="","",'2027'!$G$60)</f>
        <v/>
      </c>
      <c r="W56" s="58"/>
      <c r="X56" s="51" t="str">
        <f t="shared" si="9"/>
        <v/>
      </c>
      <c r="Y56" s="51" t="str">
        <f t="shared" si="10"/>
        <v/>
      </c>
      <c r="Z56" s="80" t="str">
        <f t="shared" si="11"/>
        <v/>
      </c>
      <c r="AA56" s="60"/>
      <c r="AB56" s="51" t="str">
        <f t="shared" si="12"/>
        <v/>
      </c>
      <c r="AC56" s="58" t="str">
        <f t="shared" si="13"/>
        <v/>
      </c>
      <c r="AD56" s="80" t="str">
        <f>IF('2027'!$M$60="","",'2027'!$M$60)</f>
        <v/>
      </c>
      <c r="AE56" s="49" t="str">
        <f>IF('2027'!$N$60="","",'2027'!$N$60)</f>
        <v/>
      </c>
      <c r="AF56" s="80">
        <f>IF('2027'!$O$60="","",'2027'!$O$60)</f>
        <v>0</v>
      </c>
      <c r="AG56" s="86"/>
      <c r="AH56" s="86"/>
      <c r="AI56" s="80" t="str">
        <f>IF('2027'!$Q$60="","",'2027'!$Q$60)</f>
        <v/>
      </c>
      <c r="AJ56" s="80" t="str">
        <f t="shared" si="14"/>
        <v/>
      </c>
      <c r="AK56" s="80" t="str">
        <f t="shared" si="15"/>
        <v/>
      </c>
      <c r="AL56" s="80">
        <f>IF('2027'!$R$60="","",'2027'!$R$60)</f>
        <v>0</v>
      </c>
      <c r="AM56" s="89">
        <f t="shared" ref="AM56:AN56" si="93">IFERROR(AI56-AJ56,0)</f>
        <v>0</v>
      </c>
      <c r="AN56" s="89">
        <f t="shared" si="93"/>
        <v>0</v>
      </c>
      <c r="AO56" s="91">
        <f>IF('2027'!$S$60="","",'2027'!$S$60)</f>
        <v>0</v>
      </c>
      <c r="AP56" s="92">
        <f t="shared" si="17"/>
        <v>0</v>
      </c>
      <c r="AQ56" s="86" t="str">
        <f t="shared" si="18"/>
        <v/>
      </c>
      <c r="AR56" s="80" t="str">
        <f>IF('2027'!$T$60="","",'2027'!$T$60)</f>
        <v/>
      </c>
      <c r="AS56" s="80">
        <f>IF('2027'!$U$60="","",'2027'!$U$60)</f>
        <v>0</v>
      </c>
      <c r="AT56" s="86" t="str">
        <f t="shared" si="19"/>
        <v/>
      </c>
      <c r="AU56" s="86"/>
      <c r="AV56" s="96" t="str">
        <f t="shared" si="20"/>
        <v/>
      </c>
      <c r="AW56" s="97" t="str">
        <f t="shared" si="21"/>
        <v/>
      </c>
      <c r="AX56" s="97" t="str">
        <f t="shared" si="22"/>
        <v/>
      </c>
      <c r="AY56" s="60" t="str">
        <f t="shared" si="23"/>
        <v/>
      </c>
      <c r="AZ56" s="97" t="str">
        <f t="shared" si="24"/>
        <v/>
      </c>
      <c r="BA56" s="49" t="str">
        <f t="shared" si="25"/>
        <v/>
      </c>
      <c r="BB56" s="80" t="str">
        <f t="shared" si="26"/>
        <v/>
      </c>
      <c r="BC56" s="80" t="str">
        <f t="shared" si="27"/>
        <v/>
      </c>
      <c r="BD56" s="89">
        <f t="shared" si="28"/>
        <v>0</v>
      </c>
      <c r="BE56" s="60" t="str">
        <f t="shared" si="29"/>
        <v/>
      </c>
      <c r="BF56" s="102" t="str">
        <f t="shared" si="30"/>
        <v/>
      </c>
      <c r="BG56" s="103">
        <f t="shared" si="31"/>
        <v>-46258</v>
      </c>
      <c r="BH56" s="104" t="str">
        <f t="shared" si="32"/>
        <v/>
      </c>
      <c r="BI56" s="104" t="str">
        <f t="shared" si="33"/>
        <v/>
      </c>
      <c r="BJ56" s="104" t="str">
        <f t="shared" si="34"/>
        <v/>
      </c>
      <c r="BK56" s="104" t="str">
        <f t="shared" si="35"/>
        <v/>
      </c>
      <c r="BL56" s="104" t="str">
        <f t="shared" si="36"/>
        <v/>
      </c>
      <c r="BM56" s="57" t="str">
        <f>IF('2027'!$V$60="","",'2027'!$V$60)</f>
        <v/>
      </c>
      <c r="BN56" s="80" t="str">
        <f t="shared" si="37"/>
        <v/>
      </c>
      <c r="BO56" s="80" t="str">
        <f t="shared" si="38"/>
        <v/>
      </c>
      <c r="BP56" s="80" t="str">
        <f t="shared" si="39"/>
        <v/>
      </c>
      <c r="BQ56" s="80" t="str">
        <f t="shared" si="40"/>
        <v/>
      </c>
      <c r="BR56" s="80" t="str">
        <f t="shared" si="41"/>
        <v/>
      </c>
      <c r="BS56" s="116" t="str">
        <f t="shared" si="42"/>
        <v/>
      </c>
    </row>
    <row r="57" ht="15.0" customHeight="1">
      <c r="A57" s="49" t="str">
        <f>IF('2027'!$E$61="","",'2027'!$E$61)</f>
        <v/>
      </c>
      <c r="B57" s="50"/>
      <c r="C57" s="51" t="str">
        <f>IF('2027'!$B$61="","",'2027'!$B$61)</f>
        <v/>
      </c>
      <c r="D57" s="51" t="str">
        <f>IF('2027'!$C$61="","",'2027'!$C$61)</f>
        <v/>
      </c>
      <c r="E57" s="51" t="str">
        <f>IF('2027'!$D$61="","",'2027'!$D$61)</f>
        <v/>
      </c>
      <c r="F57" s="51" t="str">
        <f>IF('2027'!$E$61="","",'2027'!$E$61)</f>
        <v/>
      </c>
      <c r="G57" s="51" t="str">
        <f>IF('2027'!$F$61="","",'2027'!$F$61)</f>
        <v/>
      </c>
      <c r="H57" s="57" t="str">
        <f>IF('2027'!$H$61="","",'2027'!$H$61)</f>
        <v/>
      </c>
      <c r="I57" s="58"/>
      <c r="J57" s="51" t="str">
        <f>IF('2027'!$I$61="","",'2027'!$I$61)</f>
        <v/>
      </c>
      <c r="K57" s="51" t="str">
        <f t="shared" si="2"/>
        <v/>
      </c>
      <c r="L57" s="51" t="str">
        <f>IF('2027'!$J$61="","",'2027'!$J$61)</f>
        <v/>
      </c>
      <c r="M57" s="60" t="str">
        <f>IF('2027'!$K$61="","",'2027'!$K$61)</f>
        <v/>
      </c>
      <c r="N57" s="60" t="str">
        <f>IF('2027'!$L$61="","",'2027'!$L$61)</f>
        <v/>
      </c>
      <c r="O57" s="58" t="str">
        <f t="shared" si="3"/>
        <v/>
      </c>
      <c r="P57" s="58"/>
      <c r="Q57" s="51" t="str">
        <f t="shared" si="4"/>
        <v/>
      </c>
      <c r="R57" s="51" t="str">
        <f t="shared" si="5"/>
        <v/>
      </c>
      <c r="S57" s="58" t="str">
        <f t="shared" si="6"/>
        <v/>
      </c>
      <c r="T57" s="51" t="str">
        <f t="shared" si="7"/>
        <v/>
      </c>
      <c r="U57" s="50" t="str">
        <f t="shared" si="8"/>
        <v/>
      </c>
      <c r="V57" s="58" t="str">
        <f>IF('2027'!$G$61="","",'2027'!$G$61)</f>
        <v/>
      </c>
      <c r="W57" s="58"/>
      <c r="X57" s="51" t="str">
        <f t="shared" si="9"/>
        <v/>
      </c>
      <c r="Y57" s="51" t="str">
        <f t="shared" si="10"/>
        <v/>
      </c>
      <c r="Z57" s="80" t="str">
        <f t="shared" si="11"/>
        <v/>
      </c>
      <c r="AA57" s="60"/>
      <c r="AB57" s="51" t="str">
        <f t="shared" si="12"/>
        <v/>
      </c>
      <c r="AC57" s="58" t="str">
        <f t="shared" si="13"/>
        <v/>
      </c>
      <c r="AD57" s="80" t="str">
        <f>IF('2027'!$M$61="","",'2027'!$M$61)</f>
        <v/>
      </c>
      <c r="AE57" s="49" t="str">
        <f>IF('2027'!$N$61="","",'2027'!$N$61)</f>
        <v/>
      </c>
      <c r="AF57" s="80">
        <f>IF('2027'!$O$61="","",'2027'!$O$61)</f>
        <v>0</v>
      </c>
      <c r="AG57" s="86"/>
      <c r="AH57" s="86"/>
      <c r="AI57" s="80" t="str">
        <f>IF('2027'!$Q$61="","",'2027'!$Q$61)</f>
        <v/>
      </c>
      <c r="AJ57" s="80" t="str">
        <f t="shared" si="14"/>
        <v/>
      </c>
      <c r="AK57" s="80" t="str">
        <f t="shared" si="15"/>
        <v/>
      </c>
      <c r="AL57" s="80">
        <f>IF('2027'!$R$61="","",'2027'!$R$61)</f>
        <v>0</v>
      </c>
      <c r="AM57" s="89">
        <f t="shared" ref="AM57:AN57" si="94">IFERROR(AI57-AJ57,0)</f>
        <v>0</v>
      </c>
      <c r="AN57" s="89">
        <f t="shared" si="94"/>
        <v>0</v>
      </c>
      <c r="AO57" s="91">
        <f>IF('2027'!$S$61="","",'2027'!$S$61)</f>
        <v>0</v>
      </c>
      <c r="AP57" s="92">
        <f t="shared" si="17"/>
        <v>0</v>
      </c>
      <c r="AQ57" s="86" t="str">
        <f t="shared" si="18"/>
        <v/>
      </c>
      <c r="AR57" s="80" t="str">
        <f>IF('2027'!$T$61="","",'2027'!$T$61)</f>
        <v/>
      </c>
      <c r="AS57" s="80">
        <f>IF('2027'!$U$61="","",'2027'!$U$61)</f>
        <v>0</v>
      </c>
      <c r="AT57" s="86" t="str">
        <f t="shared" si="19"/>
        <v/>
      </c>
      <c r="AU57" s="86"/>
      <c r="AV57" s="96" t="str">
        <f t="shared" si="20"/>
        <v/>
      </c>
      <c r="AW57" s="97" t="str">
        <f t="shared" si="21"/>
        <v/>
      </c>
      <c r="AX57" s="97" t="str">
        <f t="shared" si="22"/>
        <v/>
      </c>
      <c r="AY57" s="60" t="str">
        <f t="shared" si="23"/>
        <v/>
      </c>
      <c r="AZ57" s="97" t="str">
        <f t="shared" si="24"/>
        <v/>
      </c>
      <c r="BA57" s="49" t="str">
        <f t="shared" si="25"/>
        <v/>
      </c>
      <c r="BB57" s="80" t="str">
        <f t="shared" si="26"/>
        <v/>
      </c>
      <c r="BC57" s="80" t="str">
        <f t="shared" si="27"/>
        <v/>
      </c>
      <c r="BD57" s="89">
        <f t="shared" si="28"/>
        <v>0</v>
      </c>
      <c r="BE57" s="60" t="str">
        <f t="shared" si="29"/>
        <v/>
      </c>
      <c r="BF57" s="102" t="str">
        <f t="shared" si="30"/>
        <v/>
      </c>
      <c r="BG57" s="103">
        <f t="shared" si="31"/>
        <v>-46258</v>
      </c>
      <c r="BH57" s="104" t="str">
        <f t="shared" si="32"/>
        <v/>
      </c>
      <c r="BI57" s="104" t="str">
        <f t="shared" si="33"/>
        <v/>
      </c>
      <c r="BJ57" s="104" t="str">
        <f t="shared" si="34"/>
        <v/>
      </c>
      <c r="BK57" s="104" t="str">
        <f t="shared" si="35"/>
        <v/>
      </c>
      <c r="BL57" s="104" t="str">
        <f t="shared" si="36"/>
        <v/>
      </c>
      <c r="BM57" s="57" t="str">
        <f>IF('2027'!$V$61="","",'2027'!$V$61)</f>
        <v/>
      </c>
      <c r="BN57" s="80" t="str">
        <f t="shared" si="37"/>
        <v/>
      </c>
      <c r="BO57" s="80" t="str">
        <f t="shared" si="38"/>
        <v/>
      </c>
      <c r="BP57" s="80" t="str">
        <f t="shared" si="39"/>
        <v/>
      </c>
      <c r="BQ57" s="80" t="str">
        <f t="shared" si="40"/>
        <v/>
      </c>
      <c r="BR57" s="80" t="str">
        <f t="shared" si="41"/>
        <v/>
      </c>
      <c r="BS57" s="116" t="str">
        <f t="shared" si="42"/>
        <v/>
      </c>
    </row>
    <row r="58" ht="15.0" customHeight="1">
      <c r="A58" s="49" t="str">
        <f>IF('2027'!$E$62="","",'2027'!$E$62)</f>
        <v/>
      </c>
      <c r="B58" s="50"/>
      <c r="C58" s="51" t="str">
        <f>IF('2027'!$B$62="","",'2027'!$B$62)</f>
        <v/>
      </c>
      <c r="D58" s="51" t="str">
        <f>IF('2027'!$C$62="","",'2027'!$C$62)</f>
        <v/>
      </c>
      <c r="E58" s="51" t="str">
        <f>IF('2027'!$D$62="","",'2027'!$D$62)</f>
        <v/>
      </c>
      <c r="F58" s="51" t="str">
        <f>IF('2027'!$E$62="","",'2027'!$E$62)</f>
        <v/>
      </c>
      <c r="G58" s="51" t="str">
        <f>IF('2027'!$F$62="","",'2027'!$F$62)</f>
        <v/>
      </c>
      <c r="H58" s="57" t="str">
        <f>IF('2027'!$H$62="","",'2027'!$H$62)</f>
        <v/>
      </c>
      <c r="I58" s="58"/>
      <c r="J58" s="51" t="str">
        <f>IF('2027'!$I$62="","",'2027'!$I$62)</f>
        <v/>
      </c>
      <c r="K58" s="51" t="str">
        <f t="shared" si="2"/>
        <v/>
      </c>
      <c r="L58" s="51" t="str">
        <f>IF('2027'!$J$62="","",'2027'!$J$62)</f>
        <v/>
      </c>
      <c r="M58" s="60" t="str">
        <f>IF('2027'!$K$62="","",'2027'!$K$62)</f>
        <v/>
      </c>
      <c r="N58" s="60" t="str">
        <f>IF('2027'!$L$62="","",'2027'!$L$62)</f>
        <v/>
      </c>
      <c r="O58" s="58" t="str">
        <f t="shared" si="3"/>
        <v/>
      </c>
      <c r="P58" s="58"/>
      <c r="Q58" s="51" t="str">
        <f t="shared" si="4"/>
        <v/>
      </c>
      <c r="R58" s="51" t="str">
        <f t="shared" si="5"/>
        <v/>
      </c>
      <c r="S58" s="58" t="str">
        <f t="shared" si="6"/>
        <v/>
      </c>
      <c r="T58" s="51" t="str">
        <f t="shared" si="7"/>
        <v/>
      </c>
      <c r="U58" s="50" t="str">
        <f t="shared" si="8"/>
        <v/>
      </c>
      <c r="V58" s="58" t="str">
        <f>IF('2027'!$G$62="","",'2027'!$G$62)</f>
        <v/>
      </c>
      <c r="W58" s="58"/>
      <c r="X58" s="51" t="str">
        <f t="shared" si="9"/>
        <v/>
      </c>
      <c r="Y58" s="51" t="str">
        <f t="shared" si="10"/>
        <v/>
      </c>
      <c r="Z58" s="80" t="str">
        <f t="shared" si="11"/>
        <v/>
      </c>
      <c r="AA58" s="60"/>
      <c r="AB58" s="51" t="str">
        <f t="shared" si="12"/>
        <v/>
      </c>
      <c r="AC58" s="58" t="str">
        <f t="shared" si="13"/>
        <v/>
      </c>
      <c r="AD58" s="80" t="str">
        <f>IF('2027'!$M$62="","",'2027'!$M$62)</f>
        <v/>
      </c>
      <c r="AE58" s="49" t="str">
        <f>IF('2027'!$N$62="","",'2027'!$N$62)</f>
        <v/>
      </c>
      <c r="AF58" s="80">
        <f>IF('2027'!$O$62="","",'2027'!$O$62)</f>
        <v>0</v>
      </c>
      <c r="AG58" s="86"/>
      <c r="AH58" s="86"/>
      <c r="AI58" s="80" t="str">
        <f>IF('2027'!$Q$62="","",'2027'!$Q$62)</f>
        <v/>
      </c>
      <c r="AJ58" s="80" t="str">
        <f t="shared" si="14"/>
        <v/>
      </c>
      <c r="AK58" s="80" t="str">
        <f t="shared" si="15"/>
        <v/>
      </c>
      <c r="AL58" s="80">
        <f>IF('2027'!$R$62="","",'2027'!$R$62)</f>
        <v>0</v>
      </c>
      <c r="AM58" s="89">
        <f t="shared" ref="AM58:AN58" si="95">IFERROR(AI58-AJ58,0)</f>
        <v>0</v>
      </c>
      <c r="AN58" s="89">
        <f t="shared" si="95"/>
        <v>0</v>
      </c>
      <c r="AO58" s="91">
        <f>IF('2027'!$S$62="","",'2027'!$S$62)</f>
        <v>0</v>
      </c>
      <c r="AP58" s="92">
        <f t="shared" si="17"/>
        <v>0</v>
      </c>
      <c r="AQ58" s="86" t="str">
        <f t="shared" si="18"/>
        <v/>
      </c>
      <c r="AR58" s="80" t="str">
        <f>IF('2027'!$T$62="","",'2027'!$T$62)</f>
        <v/>
      </c>
      <c r="AS58" s="80">
        <f>IF('2027'!$U$62="","",'2027'!$U$62)</f>
        <v>0</v>
      </c>
      <c r="AT58" s="86" t="str">
        <f t="shared" si="19"/>
        <v/>
      </c>
      <c r="AU58" s="86"/>
      <c r="AV58" s="96" t="str">
        <f t="shared" si="20"/>
        <v/>
      </c>
      <c r="AW58" s="97" t="str">
        <f t="shared" si="21"/>
        <v/>
      </c>
      <c r="AX58" s="97" t="str">
        <f t="shared" si="22"/>
        <v/>
      </c>
      <c r="AY58" s="60" t="str">
        <f t="shared" si="23"/>
        <v/>
      </c>
      <c r="AZ58" s="97" t="str">
        <f t="shared" si="24"/>
        <v/>
      </c>
      <c r="BA58" s="49" t="str">
        <f t="shared" si="25"/>
        <v/>
      </c>
      <c r="BB58" s="80" t="str">
        <f t="shared" si="26"/>
        <v/>
      </c>
      <c r="BC58" s="80" t="str">
        <f t="shared" si="27"/>
        <v/>
      </c>
      <c r="BD58" s="89">
        <f t="shared" si="28"/>
        <v>0</v>
      </c>
      <c r="BE58" s="60" t="str">
        <f t="shared" si="29"/>
        <v/>
      </c>
      <c r="BF58" s="102" t="str">
        <f t="shared" si="30"/>
        <v/>
      </c>
      <c r="BG58" s="103">
        <f t="shared" si="31"/>
        <v>-46258</v>
      </c>
      <c r="BH58" s="104" t="str">
        <f t="shared" si="32"/>
        <v/>
      </c>
      <c r="BI58" s="104" t="str">
        <f t="shared" si="33"/>
        <v/>
      </c>
      <c r="BJ58" s="104" t="str">
        <f t="shared" si="34"/>
        <v/>
      </c>
      <c r="BK58" s="104" t="str">
        <f t="shared" si="35"/>
        <v/>
      </c>
      <c r="BL58" s="104" t="str">
        <f t="shared" si="36"/>
        <v/>
      </c>
      <c r="BM58" s="57" t="str">
        <f>IF('2027'!$V$62="","",'2027'!$V$62)</f>
        <v/>
      </c>
      <c r="BN58" s="80" t="str">
        <f t="shared" si="37"/>
        <v/>
      </c>
      <c r="BO58" s="80" t="str">
        <f t="shared" si="38"/>
        <v/>
      </c>
      <c r="BP58" s="80" t="str">
        <f t="shared" si="39"/>
        <v/>
      </c>
      <c r="BQ58" s="80" t="str">
        <f t="shared" si="40"/>
        <v/>
      </c>
      <c r="BR58" s="80" t="str">
        <f t="shared" si="41"/>
        <v/>
      </c>
      <c r="BS58" s="116" t="str">
        <f t="shared" si="42"/>
        <v/>
      </c>
    </row>
    <row r="59" ht="15.0" customHeight="1">
      <c r="A59" s="49" t="str">
        <f>IF('2027'!$E$63="","",'2027'!$E$63)</f>
        <v/>
      </c>
      <c r="B59" s="50"/>
      <c r="C59" s="51" t="str">
        <f>IF('2027'!$B$63="","",'2027'!$B$63)</f>
        <v/>
      </c>
      <c r="D59" s="51" t="str">
        <f>IF('2027'!$C$63="","",'2027'!$C$63)</f>
        <v/>
      </c>
      <c r="E59" s="51" t="str">
        <f>IF('2027'!$D$63="","",'2027'!$D$63)</f>
        <v/>
      </c>
      <c r="F59" s="51" t="str">
        <f>IF('2027'!$E$63="","",'2027'!$E$63)</f>
        <v/>
      </c>
      <c r="G59" s="51" t="str">
        <f>IF('2027'!$F$63="","",'2027'!$F$63)</f>
        <v/>
      </c>
      <c r="H59" s="57" t="str">
        <f>IF('2027'!$H$63="","",'2027'!$H$63)</f>
        <v/>
      </c>
      <c r="I59" s="58"/>
      <c r="J59" s="51" t="str">
        <f>IF('2027'!$I$63="","",'2027'!$I$63)</f>
        <v/>
      </c>
      <c r="K59" s="51" t="str">
        <f t="shared" si="2"/>
        <v/>
      </c>
      <c r="L59" s="51" t="str">
        <f>IF('2027'!$J$63="","",'2027'!$J$63)</f>
        <v/>
      </c>
      <c r="M59" s="60" t="str">
        <f>IF('2027'!$K$63="","",'2027'!$K$63)</f>
        <v/>
      </c>
      <c r="N59" s="60" t="str">
        <f>IF('2027'!$L$63="","",'2027'!$L$63)</f>
        <v/>
      </c>
      <c r="O59" s="58" t="str">
        <f t="shared" si="3"/>
        <v/>
      </c>
      <c r="P59" s="58"/>
      <c r="Q59" s="51" t="str">
        <f t="shared" si="4"/>
        <v/>
      </c>
      <c r="R59" s="51" t="str">
        <f t="shared" si="5"/>
        <v/>
      </c>
      <c r="S59" s="58" t="str">
        <f t="shared" si="6"/>
        <v/>
      </c>
      <c r="T59" s="51" t="str">
        <f t="shared" si="7"/>
        <v/>
      </c>
      <c r="U59" s="50" t="str">
        <f t="shared" si="8"/>
        <v/>
      </c>
      <c r="V59" s="58" t="str">
        <f>IF('2027'!$G$63="","",'2027'!$G$63)</f>
        <v/>
      </c>
      <c r="W59" s="58"/>
      <c r="X59" s="51" t="str">
        <f t="shared" si="9"/>
        <v/>
      </c>
      <c r="Y59" s="51" t="str">
        <f t="shared" si="10"/>
        <v/>
      </c>
      <c r="Z59" s="80" t="str">
        <f t="shared" si="11"/>
        <v/>
      </c>
      <c r="AA59" s="60"/>
      <c r="AB59" s="51" t="str">
        <f t="shared" si="12"/>
        <v/>
      </c>
      <c r="AC59" s="58" t="str">
        <f t="shared" si="13"/>
        <v/>
      </c>
      <c r="AD59" s="80" t="str">
        <f>IF('2027'!$M$63="","",'2027'!$M$63)</f>
        <v/>
      </c>
      <c r="AE59" s="49" t="str">
        <f>IF('2027'!$N$63="","",'2027'!$N$63)</f>
        <v/>
      </c>
      <c r="AF59" s="80">
        <f>IF('2027'!$O$63="","",'2027'!$O$63)</f>
        <v>0</v>
      </c>
      <c r="AG59" s="86"/>
      <c r="AH59" s="86"/>
      <c r="AI59" s="80" t="str">
        <f>IF('2027'!$Q$63="","",'2027'!$Q$63)</f>
        <v/>
      </c>
      <c r="AJ59" s="80" t="str">
        <f t="shared" si="14"/>
        <v/>
      </c>
      <c r="AK59" s="80" t="str">
        <f t="shared" si="15"/>
        <v/>
      </c>
      <c r="AL59" s="80">
        <f>IF('2027'!$R$63="","",'2027'!$R$63)</f>
        <v>0</v>
      </c>
      <c r="AM59" s="89">
        <f t="shared" ref="AM59:AN59" si="96">IFERROR(AI59-AJ59,0)</f>
        <v>0</v>
      </c>
      <c r="AN59" s="89">
        <f t="shared" si="96"/>
        <v>0</v>
      </c>
      <c r="AO59" s="91">
        <f>IF('2027'!$S$63="","",'2027'!$S$63)</f>
        <v>0</v>
      </c>
      <c r="AP59" s="92">
        <f t="shared" si="17"/>
        <v>0</v>
      </c>
      <c r="AQ59" s="86" t="str">
        <f t="shared" si="18"/>
        <v/>
      </c>
      <c r="AR59" s="80" t="str">
        <f>IF('2027'!$T$63="","",'2027'!$T$63)</f>
        <v/>
      </c>
      <c r="AS59" s="80">
        <f>IF('2027'!$U$63="","",'2027'!$U$63)</f>
        <v>0</v>
      </c>
      <c r="AT59" s="86" t="str">
        <f t="shared" si="19"/>
        <v/>
      </c>
      <c r="AU59" s="86"/>
      <c r="AV59" s="96" t="str">
        <f t="shared" si="20"/>
        <v/>
      </c>
      <c r="AW59" s="97" t="str">
        <f t="shared" si="21"/>
        <v/>
      </c>
      <c r="AX59" s="97" t="str">
        <f t="shared" si="22"/>
        <v/>
      </c>
      <c r="AY59" s="60" t="str">
        <f t="shared" si="23"/>
        <v/>
      </c>
      <c r="AZ59" s="97" t="str">
        <f t="shared" si="24"/>
        <v/>
      </c>
      <c r="BA59" s="49" t="str">
        <f t="shared" si="25"/>
        <v/>
      </c>
      <c r="BB59" s="80" t="str">
        <f t="shared" si="26"/>
        <v/>
      </c>
      <c r="BC59" s="80" t="str">
        <f t="shared" si="27"/>
        <v/>
      </c>
      <c r="BD59" s="89">
        <f t="shared" si="28"/>
        <v>0</v>
      </c>
      <c r="BE59" s="60" t="str">
        <f t="shared" si="29"/>
        <v/>
      </c>
      <c r="BF59" s="102" t="str">
        <f t="shared" si="30"/>
        <v/>
      </c>
      <c r="BG59" s="103">
        <f t="shared" si="31"/>
        <v>-46258</v>
      </c>
      <c r="BH59" s="104" t="str">
        <f t="shared" si="32"/>
        <v/>
      </c>
      <c r="BI59" s="104" t="str">
        <f t="shared" si="33"/>
        <v/>
      </c>
      <c r="BJ59" s="104" t="str">
        <f t="shared" si="34"/>
        <v/>
      </c>
      <c r="BK59" s="104" t="str">
        <f t="shared" si="35"/>
        <v/>
      </c>
      <c r="BL59" s="104" t="str">
        <f t="shared" si="36"/>
        <v/>
      </c>
      <c r="BM59" s="57" t="str">
        <f>IF('2027'!$V$63="","",'2027'!$V$63)</f>
        <v/>
      </c>
      <c r="BN59" s="80" t="str">
        <f t="shared" si="37"/>
        <v/>
      </c>
      <c r="BO59" s="80" t="str">
        <f t="shared" si="38"/>
        <v/>
      </c>
      <c r="BP59" s="80" t="str">
        <f t="shared" si="39"/>
        <v/>
      </c>
      <c r="BQ59" s="80" t="str">
        <f t="shared" si="40"/>
        <v/>
      </c>
      <c r="BR59" s="80" t="str">
        <f t="shared" si="41"/>
        <v/>
      </c>
      <c r="BS59" s="116" t="str">
        <f t="shared" si="42"/>
        <v/>
      </c>
    </row>
    <row r="60" ht="15.0" customHeight="1">
      <c r="A60" s="49" t="str">
        <f>IF('2027'!$E$64="","",'2027'!$E$64)</f>
        <v/>
      </c>
      <c r="B60" s="50"/>
      <c r="C60" s="51" t="str">
        <f>IF('2027'!$B$64="","",'2027'!$B$64)</f>
        <v/>
      </c>
      <c r="D60" s="51" t="str">
        <f>IF('2027'!$C$64="","",'2027'!$C$64)</f>
        <v/>
      </c>
      <c r="E60" s="51" t="str">
        <f>IF('2027'!$D$64="","",'2027'!$D$64)</f>
        <v/>
      </c>
      <c r="F60" s="51" t="str">
        <f>IF('2027'!$E$64="","",'2027'!$E$64)</f>
        <v/>
      </c>
      <c r="G60" s="51" t="str">
        <f>IF('2027'!$F$64="","",'2027'!$F$64)</f>
        <v/>
      </c>
      <c r="H60" s="57" t="str">
        <f>IF('2027'!$H$64="","",'2027'!$H$64)</f>
        <v/>
      </c>
      <c r="I60" s="58"/>
      <c r="J60" s="51" t="str">
        <f>IF('2027'!$I$64="","",'2027'!$I$64)</f>
        <v/>
      </c>
      <c r="K60" s="51" t="str">
        <f t="shared" si="2"/>
        <v/>
      </c>
      <c r="L60" s="51" t="str">
        <f>IF('2027'!$J$64="","",'2027'!$J$64)</f>
        <v/>
      </c>
      <c r="M60" s="60" t="str">
        <f>IF('2027'!$K$64="","",'2027'!$K$64)</f>
        <v/>
      </c>
      <c r="N60" s="60" t="str">
        <f>IF('2027'!$L$64="","",'2027'!$L$64)</f>
        <v/>
      </c>
      <c r="O60" s="58" t="str">
        <f t="shared" si="3"/>
        <v/>
      </c>
      <c r="P60" s="58"/>
      <c r="Q60" s="51" t="str">
        <f t="shared" si="4"/>
        <v/>
      </c>
      <c r="R60" s="51" t="str">
        <f t="shared" si="5"/>
        <v/>
      </c>
      <c r="S60" s="58" t="str">
        <f t="shared" si="6"/>
        <v/>
      </c>
      <c r="T60" s="51" t="str">
        <f t="shared" si="7"/>
        <v/>
      </c>
      <c r="U60" s="50" t="str">
        <f t="shared" si="8"/>
        <v/>
      </c>
      <c r="V60" s="58" t="str">
        <f>IF('2027'!$G$64="","",'2027'!$G$64)</f>
        <v/>
      </c>
      <c r="W60" s="58"/>
      <c r="X60" s="51" t="str">
        <f t="shared" si="9"/>
        <v/>
      </c>
      <c r="Y60" s="51" t="str">
        <f t="shared" si="10"/>
        <v/>
      </c>
      <c r="Z60" s="80" t="str">
        <f t="shared" si="11"/>
        <v/>
      </c>
      <c r="AA60" s="60"/>
      <c r="AB60" s="51" t="str">
        <f t="shared" si="12"/>
        <v/>
      </c>
      <c r="AC60" s="58" t="str">
        <f t="shared" si="13"/>
        <v/>
      </c>
      <c r="AD60" s="80" t="str">
        <f>IF('2027'!$M$64="","",'2027'!$M$64)</f>
        <v/>
      </c>
      <c r="AE60" s="49" t="str">
        <f>IF('2027'!$N$64="","",'2027'!$N$64)</f>
        <v/>
      </c>
      <c r="AF60" s="80">
        <f>IF('2027'!$O$64="","",'2027'!$O$64)</f>
        <v>0</v>
      </c>
      <c r="AG60" s="86"/>
      <c r="AH60" s="86"/>
      <c r="AI60" s="80" t="str">
        <f>IF('2027'!$Q$64="","",'2027'!$Q$64)</f>
        <v/>
      </c>
      <c r="AJ60" s="80" t="str">
        <f t="shared" si="14"/>
        <v/>
      </c>
      <c r="AK60" s="80" t="str">
        <f t="shared" si="15"/>
        <v/>
      </c>
      <c r="AL60" s="80">
        <f>IF('2027'!$R$64="","",'2027'!$R$64)</f>
        <v>0</v>
      </c>
      <c r="AM60" s="89">
        <f t="shared" ref="AM60:AN60" si="97">IFERROR(AI60-AJ60,0)</f>
        <v>0</v>
      </c>
      <c r="AN60" s="89">
        <f t="shared" si="97"/>
        <v>0</v>
      </c>
      <c r="AO60" s="91">
        <f>IF('2027'!$S$64="","",'2027'!$S$64)</f>
        <v>0</v>
      </c>
      <c r="AP60" s="92">
        <f t="shared" si="17"/>
        <v>0</v>
      </c>
      <c r="AQ60" s="86" t="str">
        <f t="shared" si="18"/>
        <v/>
      </c>
      <c r="AR60" s="80" t="str">
        <f>IF('2027'!$T$64="","",'2027'!$T$64)</f>
        <v/>
      </c>
      <c r="AS60" s="80">
        <f>IF('2027'!$U$64="","",'2027'!$U$64)</f>
        <v>0</v>
      </c>
      <c r="AT60" s="86" t="str">
        <f t="shared" si="19"/>
        <v/>
      </c>
      <c r="AU60" s="86"/>
      <c r="AV60" s="96" t="str">
        <f t="shared" si="20"/>
        <v/>
      </c>
      <c r="AW60" s="97" t="str">
        <f t="shared" si="21"/>
        <v/>
      </c>
      <c r="AX60" s="97" t="str">
        <f t="shared" si="22"/>
        <v/>
      </c>
      <c r="AY60" s="60" t="str">
        <f t="shared" si="23"/>
        <v/>
      </c>
      <c r="AZ60" s="97" t="str">
        <f t="shared" si="24"/>
        <v/>
      </c>
      <c r="BA60" s="49" t="str">
        <f t="shared" si="25"/>
        <v/>
      </c>
      <c r="BB60" s="80" t="str">
        <f t="shared" si="26"/>
        <v/>
      </c>
      <c r="BC60" s="80" t="str">
        <f t="shared" si="27"/>
        <v/>
      </c>
      <c r="BD60" s="89">
        <f t="shared" si="28"/>
        <v>0</v>
      </c>
      <c r="BE60" s="60" t="str">
        <f t="shared" si="29"/>
        <v/>
      </c>
      <c r="BF60" s="102" t="str">
        <f t="shared" si="30"/>
        <v/>
      </c>
      <c r="BG60" s="103">
        <f t="shared" si="31"/>
        <v>-46258</v>
      </c>
      <c r="BH60" s="104" t="str">
        <f t="shared" si="32"/>
        <v/>
      </c>
      <c r="BI60" s="104" t="str">
        <f t="shared" si="33"/>
        <v/>
      </c>
      <c r="BJ60" s="104" t="str">
        <f t="shared" si="34"/>
        <v/>
      </c>
      <c r="BK60" s="104" t="str">
        <f t="shared" si="35"/>
        <v/>
      </c>
      <c r="BL60" s="104" t="str">
        <f t="shared" si="36"/>
        <v/>
      </c>
      <c r="BM60" s="57" t="str">
        <f>IF('2027'!$V$64="","",'2027'!$V$64)</f>
        <v/>
      </c>
      <c r="BN60" s="80" t="str">
        <f t="shared" si="37"/>
        <v/>
      </c>
      <c r="BO60" s="80" t="str">
        <f t="shared" si="38"/>
        <v/>
      </c>
      <c r="BP60" s="80" t="str">
        <f t="shared" si="39"/>
        <v/>
      </c>
      <c r="BQ60" s="80" t="str">
        <f t="shared" si="40"/>
        <v/>
      </c>
      <c r="BR60" s="80" t="str">
        <f t="shared" si="41"/>
        <v/>
      </c>
      <c r="BS60" s="116" t="str">
        <f t="shared" si="42"/>
        <v/>
      </c>
    </row>
    <row r="61" ht="15.0" customHeight="1">
      <c r="A61" s="49" t="str">
        <f>IF('2027'!$E$65="","",'2027'!$E$65)</f>
        <v/>
      </c>
      <c r="B61" s="50"/>
      <c r="C61" s="51" t="str">
        <f>IF('2027'!$B$65="","",'2027'!$B$65)</f>
        <v/>
      </c>
      <c r="D61" s="51" t="str">
        <f>IF('2027'!$C$65="","",'2027'!$C$65)</f>
        <v/>
      </c>
      <c r="E61" s="51" t="str">
        <f>IF('2027'!$D$65="","",'2027'!$D$65)</f>
        <v/>
      </c>
      <c r="F61" s="51" t="str">
        <f>IF('2027'!$E$65="","",'2027'!$E$65)</f>
        <v/>
      </c>
      <c r="G61" s="51" t="str">
        <f>IF('2027'!$F$65="","",'2027'!$F$65)</f>
        <v/>
      </c>
      <c r="H61" s="57" t="str">
        <f>IF('2027'!$H$65="","",'2027'!$H$65)</f>
        <v/>
      </c>
      <c r="I61" s="58"/>
      <c r="J61" s="51" t="str">
        <f>IF('2027'!$I$65="","",'2027'!$I$65)</f>
        <v/>
      </c>
      <c r="K61" s="51" t="str">
        <f t="shared" si="2"/>
        <v/>
      </c>
      <c r="L61" s="51" t="str">
        <f>IF('2027'!$J$65="","",'2027'!$J$65)</f>
        <v/>
      </c>
      <c r="M61" s="60" t="str">
        <f>IF('2027'!$K$65="","",'2027'!$K$65)</f>
        <v/>
      </c>
      <c r="N61" s="60" t="str">
        <f>IF('2027'!$L$65="","",'2027'!$L$65)</f>
        <v/>
      </c>
      <c r="O61" s="58" t="str">
        <f t="shared" si="3"/>
        <v/>
      </c>
      <c r="P61" s="58"/>
      <c r="Q61" s="51" t="str">
        <f t="shared" si="4"/>
        <v/>
      </c>
      <c r="R61" s="51" t="str">
        <f t="shared" si="5"/>
        <v/>
      </c>
      <c r="S61" s="58" t="str">
        <f t="shared" si="6"/>
        <v/>
      </c>
      <c r="T61" s="51" t="str">
        <f t="shared" si="7"/>
        <v/>
      </c>
      <c r="U61" s="50" t="str">
        <f t="shared" si="8"/>
        <v/>
      </c>
      <c r="V61" s="58" t="str">
        <f>IF('2027'!$G$65="","",'2027'!$G$65)</f>
        <v/>
      </c>
      <c r="W61" s="58"/>
      <c r="X61" s="51" t="str">
        <f t="shared" si="9"/>
        <v/>
      </c>
      <c r="Y61" s="51" t="str">
        <f t="shared" si="10"/>
        <v/>
      </c>
      <c r="Z61" s="80" t="str">
        <f t="shared" si="11"/>
        <v/>
      </c>
      <c r="AA61" s="60"/>
      <c r="AB61" s="51" t="str">
        <f t="shared" si="12"/>
        <v/>
      </c>
      <c r="AC61" s="58" t="str">
        <f t="shared" si="13"/>
        <v/>
      </c>
      <c r="AD61" s="80" t="str">
        <f>IF('2027'!$M$65="","",'2027'!$M$65)</f>
        <v/>
      </c>
      <c r="AE61" s="49" t="str">
        <f>IF('2027'!$N$65="","",'2027'!$N$65)</f>
        <v/>
      </c>
      <c r="AF61" s="80">
        <f>IF('2027'!$O$65="","",'2027'!$O$65)</f>
        <v>0</v>
      </c>
      <c r="AG61" s="86"/>
      <c r="AH61" s="86"/>
      <c r="AI61" s="80" t="str">
        <f>IF('2027'!$Q$65="","",'2027'!$Q$65)</f>
        <v/>
      </c>
      <c r="AJ61" s="80" t="str">
        <f t="shared" si="14"/>
        <v/>
      </c>
      <c r="AK61" s="80" t="str">
        <f t="shared" si="15"/>
        <v/>
      </c>
      <c r="AL61" s="80">
        <f>IF('2027'!$R$65="","",'2027'!$R$65)</f>
        <v>0</v>
      </c>
      <c r="AM61" s="89">
        <f t="shared" ref="AM61:AN61" si="98">IFERROR(AI61-AJ61,0)</f>
        <v>0</v>
      </c>
      <c r="AN61" s="89">
        <f t="shared" si="98"/>
        <v>0</v>
      </c>
      <c r="AO61" s="91">
        <f>IF('2027'!$S$65="","",'2027'!$S$65)</f>
        <v>0</v>
      </c>
      <c r="AP61" s="92">
        <f t="shared" si="17"/>
        <v>0</v>
      </c>
      <c r="AQ61" s="86" t="str">
        <f t="shared" si="18"/>
        <v/>
      </c>
      <c r="AR61" s="80" t="str">
        <f>IF('2027'!$T$65="","",'2027'!$T$65)</f>
        <v/>
      </c>
      <c r="AS61" s="80">
        <f>IF('2027'!$U$65="","",'2027'!$U$65)</f>
        <v>0</v>
      </c>
      <c r="AT61" s="86" t="str">
        <f t="shared" si="19"/>
        <v/>
      </c>
      <c r="AU61" s="86"/>
      <c r="AV61" s="96" t="str">
        <f t="shared" si="20"/>
        <v/>
      </c>
      <c r="AW61" s="97" t="str">
        <f t="shared" si="21"/>
        <v/>
      </c>
      <c r="AX61" s="97" t="str">
        <f t="shared" si="22"/>
        <v/>
      </c>
      <c r="AY61" s="60" t="str">
        <f t="shared" si="23"/>
        <v/>
      </c>
      <c r="AZ61" s="97" t="str">
        <f t="shared" si="24"/>
        <v/>
      </c>
      <c r="BA61" s="49" t="str">
        <f t="shared" si="25"/>
        <v/>
      </c>
      <c r="BB61" s="80" t="str">
        <f t="shared" si="26"/>
        <v/>
      </c>
      <c r="BC61" s="80" t="str">
        <f t="shared" si="27"/>
        <v/>
      </c>
      <c r="BD61" s="89">
        <f t="shared" si="28"/>
        <v>0</v>
      </c>
      <c r="BE61" s="60" t="str">
        <f t="shared" si="29"/>
        <v/>
      </c>
      <c r="BF61" s="102" t="str">
        <f t="shared" si="30"/>
        <v/>
      </c>
      <c r="BG61" s="103">
        <f t="shared" si="31"/>
        <v>-46258</v>
      </c>
      <c r="BH61" s="104" t="str">
        <f t="shared" si="32"/>
        <v/>
      </c>
      <c r="BI61" s="104" t="str">
        <f t="shared" si="33"/>
        <v/>
      </c>
      <c r="BJ61" s="104" t="str">
        <f t="shared" si="34"/>
        <v/>
      </c>
      <c r="BK61" s="104" t="str">
        <f t="shared" si="35"/>
        <v/>
      </c>
      <c r="BL61" s="104" t="str">
        <f t="shared" si="36"/>
        <v/>
      </c>
      <c r="BM61" s="57" t="str">
        <f>IF('2027'!$V$65="","",'2027'!$V$65)</f>
        <v/>
      </c>
      <c r="BN61" s="80" t="str">
        <f t="shared" si="37"/>
        <v/>
      </c>
      <c r="BO61" s="80" t="str">
        <f t="shared" si="38"/>
        <v/>
      </c>
      <c r="BP61" s="80" t="str">
        <f t="shared" si="39"/>
        <v/>
      </c>
      <c r="BQ61" s="80" t="str">
        <f t="shared" si="40"/>
        <v/>
      </c>
      <c r="BR61" s="80" t="str">
        <f t="shared" si="41"/>
        <v/>
      </c>
      <c r="BS61" s="116" t="str">
        <f t="shared" si="42"/>
        <v/>
      </c>
    </row>
    <row r="62" ht="15.0" customHeight="1">
      <c r="A62" s="49" t="str">
        <f>IF('2027'!$E$66="","",'2027'!$E$66)</f>
        <v/>
      </c>
      <c r="B62" s="50"/>
      <c r="C62" s="51" t="str">
        <f>IF('2027'!$B$66="","",'2027'!$B$66)</f>
        <v/>
      </c>
      <c r="D62" s="51" t="str">
        <f>IF('2027'!$C$66="","",'2027'!$C$66)</f>
        <v/>
      </c>
      <c r="E62" s="51" t="str">
        <f>IF('2027'!$D$66="","",'2027'!$D$66)</f>
        <v/>
      </c>
      <c r="F62" s="51" t="str">
        <f>IF('2027'!$E$66="","",'2027'!$E$66)</f>
        <v/>
      </c>
      <c r="G62" s="51" t="str">
        <f>IF('2027'!$F$66="","",'2027'!$F$66)</f>
        <v/>
      </c>
      <c r="H62" s="57" t="str">
        <f>IF('2027'!$H$66="","",'2027'!$H$66)</f>
        <v/>
      </c>
      <c r="I62" s="58"/>
      <c r="J62" s="51" t="str">
        <f>IF('2027'!$I$66="","",'2027'!$I$66)</f>
        <v/>
      </c>
      <c r="K62" s="51" t="str">
        <f t="shared" si="2"/>
        <v/>
      </c>
      <c r="L62" s="51" t="str">
        <f>IF('2027'!$J$66="","",'2027'!$J$66)</f>
        <v/>
      </c>
      <c r="M62" s="60" t="str">
        <f>IF('2027'!$K$66="","",'2027'!$K$66)</f>
        <v/>
      </c>
      <c r="N62" s="60" t="str">
        <f>IF('2027'!$L$66="","",'2027'!$L$66)</f>
        <v/>
      </c>
      <c r="O62" s="58" t="str">
        <f t="shared" si="3"/>
        <v/>
      </c>
      <c r="P62" s="58"/>
      <c r="Q62" s="51" t="str">
        <f t="shared" si="4"/>
        <v/>
      </c>
      <c r="R62" s="51" t="str">
        <f t="shared" si="5"/>
        <v/>
      </c>
      <c r="S62" s="58" t="str">
        <f t="shared" si="6"/>
        <v/>
      </c>
      <c r="T62" s="51" t="str">
        <f t="shared" si="7"/>
        <v/>
      </c>
      <c r="U62" s="50" t="str">
        <f t="shared" si="8"/>
        <v/>
      </c>
      <c r="V62" s="58" t="str">
        <f>IF('2027'!$G$66="","",'2027'!$G$66)</f>
        <v/>
      </c>
      <c r="W62" s="58"/>
      <c r="X62" s="51" t="str">
        <f t="shared" si="9"/>
        <v/>
      </c>
      <c r="Y62" s="51" t="str">
        <f t="shared" si="10"/>
        <v/>
      </c>
      <c r="Z62" s="80" t="str">
        <f t="shared" si="11"/>
        <v/>
      </c>
      <c r="AA62" s="60"/>
      <c r="AB62" s="51" t="str">
        <f t="shared" si="12"/>
        <v/>
      </c>
      <c r="AC62" s="58" t="str">
        <f t="shared" si="13"/>
        <v/>
      </c>
      <c r="AD62" s="80" t="str">
        <f>IF('2027'!$M$66="","",'2027'!$M$66)</f>
        <v/>
      </c>
      <c r="AE62" s="49" t="str">
        <f>IF('2027'!$N$66="","",'2027'!$N$66)</f>
        <v/>
      </c>
      <c r="AF62" s="80">
        <f>IF('2027'!$O$66="","",'2027'!$O$66)</f>
        <v>0</v>
      </c>
      <c r="AG62" s="86"/>
      <c r="AH62" s="86"/>
      <c r="AI62" s="80" t="str">
        <f>IF('2027'!$Q$66="","",'2027'!$Q$66)</f>
        <v/>
      </c>
      <c r="AJ62" s="80" t="str">
        <f t="shared" si="14"/>
        <v/>
      </c>
      <c r="AK62" s="80" t="str">
        <f t="shared" si="15"/>
        <v/>
      </c>
      <c r="AL62" s="80">
        <f>IF('2027'!$R$66="","",'2027'!$R$66)</f>
        <v>0</v>
      </c>
      <c r="AM62" s="89">
        <f t="shared" ref="AM62:AN62" si="99">IFERROR(AI62-AJ62,0)</f>
        <v>0</v>
      </c>
      <c r="AN62" s="89">
        <f t="shared" si="99"/>
        <v>0</v>
      </c>
      <c r="AO62" s="91">
        <f>IF('2027'!$S$66="","",'2027'!$S$66)</f>
        <v>0</v>
      </c>
      <c r="AP62" s="92">
        <f t="shared" si="17"/>
        <v>0</v>
      </c>
      <c r="AQ62" s="86" t="str">
        <f t="shared" si="18"/>
        <v/>
      </c>
      <c r="AR62" s="80" t="str">
        <f>IF('2027'!$T$66="","",'2027'!$T$66)</f>
        <v/>
      </c>
      <c r="AS62" s="80">
        <f>IF('2027'!$U$66="","",'2027'!$U$66)</f>
        <v>0</v>
      </c>
      <c r="AT62" s="86" t="str">
        <f t="shared" si="19"/>
        <v/>
      </c>
      <c r="AU62" s="86"/>
      <c r="AV62" s="96" t="str">
        <f t="shared" si="20"/>
        <v/>
      </c>
      <c r="AW62" s="97" t="str">
        <f t="shared" si="21"/>
        <v/>
      </c>
      <c r="AX62" s="97" t="str">
        <f t="shared" si="22"/>
        <v/>
      </c>
      <c r="AY62" s="60" t="str">
        <f t="shared" si="23"/>
        <v/>
      </c>
      <c r="AZ62" s="97" t="str">
        <f t="shared" si="24"/>
        <v/>
      </c>
      <c r="BA62" s="49" t="str">
        <f t="shared" si="25"/>
        <v/>
      </c>
      <c r="BB62" s="80" t="str">
        <f t="shared" si="26"/>
        <v/>
      </c>
      <c r="BC62" s="80" t="str">
        <f t="shared" si="27"/>
        <v/>
      </c>
      <c r="BD62" s="89">
        <f t="shared" si="28"/>
        <v>0</v>
      </c>
      <c r="BE62" s="60" t="str">
        <f t="shared" si="29"/>
        <v/>
      </c>
      <c r="BF62" s="102" t="str">
        <f t="shared" si="30"/>
        <v/>
      </c>
      <c r="BG62" s="103">
        <f t="shared" si="31"/>
        <v>-46258</v>
      </c>
      <c r="BH62" s="104" t="str">
        <f t="shared" si="32"/>
        <v/>
      </c>
      <c r="BI62" s="104" t="str">
        <f t="shared" si="33"/>
        <v/>
      </c>
      <c r="BJ62" s="104" t="str">
        <f t="shared" si="34"/>
        <v/>
      </c>
      <c r="BK62" s="104" t="str">
        <f t="shared" si="35"/>
        <v/>
      </c>
      <c r="BL62" s="104" t="str">
        <f t="shared" si="36"/>
        <v/>
      </c>
      <c r="BM62" s="57" t="str">
        <f>IF('2027'!$V$66="","",'2027'!$V$66)</f>
        <v/>
      </c>
      <c r="BN62" s="80" t="str">
        <f t="shared" si="37"/>
        <v/>
      </c>
      <c r="BO62" s="80" t="str">
        <f t="shared" si="38"/>
        <v/>
      </c>
      <c r="BP62" s="80" t="str">
        <f t="shared" si="39"/>
        <v/>
      </c>
      <c r="BQ62" s="80" t="str">
        <f t="shared" si="40"/>
        <v/>
      </c>
      <c r="BR62" s="80" t="str">
        <f t="shared" si="41"/>
        <v/>
      </c>
      <c r="BS62" s="116" t="str">
        <f t="shared" si="42"/>
        <v/>
      </c>
    </row>
    <row r="63" ht="15.0" customHeight="1">
      <c r="A63" s="49" t="str">
        <f>IF('2027'!$E$67="","",'2027'!$E$67)</f>
        <v/>
      </c>
      <c r="B63" s="50"/>
      <c r="C63" s="51" t="str">
        <f>IF('2027'!$B$67="","",'2027'!$B$67)</f>
        <v/>
      </c>
      <c r="D63" s="51" t="str">
        <f>IF('2027'!$C$67="","",'2027'!$C$67)</f>
        <v/>
      </c>
      <c r="E63" s="51" t="str">
        <f>IF('2027'!$D$67="","",'2027'!$D$67)</f>
        <v/>
      </c>
      <c r="F63" s="51" t="str">
        <f>IF('2027'!$E$67="","",'2027'!$E$67)</f>
        <v/>
      </c>
      <c r="G63" s="51" t="str">
        <f>IF('2027'!$F$67="","",'2027'!$F$67)</f>
        <v/>
      </c>
      <c r="H63" s="57" t="str">
        <f>IF('2027'!$H$67="","",'2027'!$H$67)</f>
        <v/>
      </c>
      <c r="I63" s="58"/>
      <c r="J63" s="51" t="str">
        <f>IF('2027'!$I$67="","",'2027'!$I$67)</f>
        <v/>
      </c>
      <c r="K63" s="51" t="str">
        <f t="shared" si="2"/>
        <v/>
      </c>
      <c r="L63" s="51" t="str">
        <f>IF('2027'!$J$67="","",'2027'!$J$67)</f>
        <v/>
      </c>
      <c r="M63" s="60" t="str">
        <f>IF('2027'!$K$67="","",'2027'!$K$67)</f>
        <v/>
      </c>
      <c r="N63" s="60" t="str">
        <f>IF('2027'!$L$67="","",'2027'!$L$67)</f>
        <v/>
      </c>
      <c r="O63" s="58" t="str">
        <f t="shared" si="3"/>
        <v/>
      </c>
      <c r="P63" s="58"/>
      <c r="Q63" s="51" t="str">
        <f t="shared" si="4"/>
        <v/>
      </c>
      <c r="R63" s="51" t="str">
        <f t="shared" si="5"/>
        <v/>
      </c>
      <c r="S63" s="58" t="str">
        <f t="shared" si="6"/>
        <v/>
      </c>
      <c r="T63" s="51" t="str">
        <f t="shared" si="7"/>
        <v/>
      </c>
      <c r="U63" s="50" t="str">
        <f t="shared" si="8"/>
        <v/>
      </c>
      <c r="V63" s="58" t="str">
        <f>IF('2027'!$G$67="","",'2027'!$G$67)</f>
        <v/>
      </c>
      <c r="W63" s="58"/>
      <c r="X63" s="51" t="str">
        <f t="shared" si="9"/>
        <v/>
      </c>
      <c r="Y63" s="51" t="str">
        <f t="shared" si="10"/>
        <v/>
      </c>
      <c r="Z63" s="80" t="str">
        <f t="shared" si="11"/>
        <v/>
      </c>
      <c r="AA63" s="60"/>
      <c r="AB63" s="51" t="str">
        <f t="shared" si="12"/>
        <v/>
      </c>
      <c r="AC63" s="58" t="str">
        <f t="shared" si="13"/>
        <v/>
      </c>
      <c r="AD63" s="80" t="str">
        <f>IF('2027'!$M$67="","",'2027'!$M$67)</f>
        <v/>
      </c>
      <c r="AE63" s="49" t="str">
        <f>IF('2027'!$N$67="","",'2027'!$N$67)</f>
        <v/>
      </c>
      <c r="AF63" s="80">
        <f>IF('2027'!$O$67="","",'2027'!$O$67)</f>
        <v>0</v>
      </c>
      <c r="AG63" s="86"/>
      <c r="AH63" s="86"/>
      <c r="AI63" s="80" t="str">
        <f>IF('2027'!$Q$67="","",'2027'!$Q$67)</f>
        <v/>
      </c>
      <c r="AJ63" s="80" t="str">
        <f t="shared" si="14"/>
        <v/>
      </c>
      <c r="AK63" s="80" t="str">
        <f t="shared" si="15"/>
        <v/>
      </c>
      <c r="AL63" s="80">
        <f>IF('2027'!$R$67="","",'2027'!$R$67)</f>
        <v>0</v>
      </c>
      <c r="AM63" s="89">
        <f t="shared" ref="AM63:AN63" si="100">IFERROR(AI63-AJ63,0)</f>
        <v>0</v>
      </c>
      <c r="AN63" s="89">
        <f t="shared" si="100"/>
        <v>0</v>
      </c>
      <c r="AO63" s="91">
        <f>IF('2027'!$S$67="","",'2027'!$S$67)</f>
        <v>0</v>
      </c>
      <c r="AP63" s="92">
        <f t="shared" si="17"/>
        <v>0</v>
      </c>
      <c r="AQ63" s="86" t="str">
        <f t="shared" si="18"/>
        <v/>
      </c>
      <c r="AR63" s="80" t="str">
        <f>IF('2027'!$T$67="","",'2027'!$T$67)</f>
        <v/>
      </c>
      <c r="AS63" s="80">
        <f>IF('2027'!$U$67="","",'2027'!$U$67)</f>
        <v>0</v>
      </c>
      <c r="AT63" s="86" t="str">
        <f t="shared" si="19"/>
        <v/>
      </c>
      <c r="AU63" s="86"/>
      <c r="AV63" s="96" t="str">
        <f t="shared" si="20"/>
        <v/>
      </c>
      <c r="AW63" s="97" t="str">
        <f t="shared" si="21"/>
        <v/>
      </c>
      <c r="AX63" s="97" t="str">
        <f t="shared" si="22"/>
        <v/>
      </c>
      <c r="AY63" s="60" t="str">
        <f t="shared" si="23"/>
        <v/>
      </c>
      <c r="AZ63" s="97" t="str">
        <f t="shared" si="24"/>
        <v/>
      </c>
      <c r="BA63" s="49" t="str">
        <f t="shared" si="25"/>
        <v/>
      </c>
      <c r="BB63" s="80" t="str">
        <f t="shared" si="26"/>
        <v/>
      </c>
      <c r="BC63" s="80" t="str">
        <f t="shared" si="27"/>
        <v/>
      </c>
      <c r="BD63" s="89">
        <f t="shared" si="28"/>
        <v>0</v>
      </c>
      <c r="BE63" s="60" t="str">
        <f t="shared" si="29"/>
        <v/>
      </c>
      <c r="BF63" s="102" t="str">
        <f t="shared" si="30"/>
        <v/>
      </c>
      <c r="BG63" s="103">
        <f t="shared" si="31"/>
        <v>-46258</v>
      </c>
      <c r="BH63" s="104" t="str">
        <f t="shared" si="32"/>
        <v/>
      </c>
      <c r="BI63" s="104" t="str">
        <f t="shared" si="33"/>
        <v/>
      </c>
      <c r="BJ63" s="104" t="str">
        <f t="shared" si="34"/>
        <v/>
      </c>
      <c r="BK63" s="104" t="str">
        <f t="shared" si="35"/>
        <v/>
      </c>
      <c r="BL63" s="104" t="str">
        <f t="shared" si="36"/>
        <v/>
      </c>
      <c r="BM63" s="57" t="str">
        <f>IF('2027'!$V$67="","",'2027'!$V$67)</f>
        <v/>
      </c>
      <c r="BN63" s="80" t="str">
        <f t="shared" si="37"/>
        <v/>
      </c>
      <c r="BO63" s="80" t="str">
        <f t="shared" si="38"/>
        <v/>
      </c>
      <c r="BP63" s="80" t="str">
        <f t="shared" si="39"/>
        <v/>
      </c>
      <c r="BQ63" s="80" t="str">
        <f t="shared" si="40"/>
        <v/>
      </c>
      <c r="BR63" s="80" t="str">
        <f t="shared" si="41"/>
        <v/>
      </c>
      <c r="BS63" s="116" t="str">
        <f t="shared" si="42"/>
        <v/>
      </c>
    </row>
    <row r="64" ht="15.0" customHeight="1">
      <c r="A64" s="49" t="str">
        <f>IF('2027'!$E$68="","",'2027'!$E$68)</f>
        <v/>
      </c>
      <c r="B64" s="50"/>
      <c r="C64" s="51" t="str">
        <f>IF('2027'!$B$68="","",'2027'!$B$68)</f>
        <v/>
      </c>
      <c r="D64" s="51" t="str">
        <f>IF('2027'!$C$68="","",'2027'!$C$68)</f>
        <v/>
      </c>
      <c r="E64" s="51" t="str">
        <f>IF('2027'!$D$68="","",'2027'!$D$68)</f>
        <v/>
      </c>
      <c r="F64" s="51" t="str">
        <f>IF('2027'!$E$68="","",'2027'!$E$68)</f>
        <v/>
      </c>
      <c r="G64" s="51" t="str">
        <f>IF('2027'!$F$68="","",'2027'!$F$68)</f>
        <v/>
      </c>
      <c r="H64" s="57" t="str">
        <f>IF('2027'!$H$68="","",'2027'!$H$68)</f>
        <v/>
      </c>
      <c r="I64" s="58"/>
      <c r="J64" s="51" t="str">
        <f>IF('2027'!$I$68="","",'2027'!$I$68)</f>
        <v/>
      </c>
      <c r="K64" s="51" t="str">
        <f t="shared" si="2"/>
        <v/>
      </c>
      <c r="L64" s="51" t="str">
        <f>IF('2027'!$J$68="","",'2027'!$J$68)</f>
        <v/>
      </c>
      <c r="M64" s="60" t="str">
        <f>IF('2027'!$K$68="","",'2027'!$K$68)</f>
        <v/>
      </c>
      <c r="N64" s="60" t="str">
        <f>IF('2027'!$L$68="","",'2027'!$L$68)</f>
        <v/>
      </c>
      <c r="O64" s="58" t="str">
        <f t="shared" si="3"/>
        <v/>
      </c>
      <c r="P64" s="58"/>
      <c r="Q64" s="51" t="str">
        <f t="shared" si="4"/>
        <v/>
      </c>
      <c r="R64" s="51" t="str">
        <f t="shared" si="5"/>
        <v/>
      </c>
      <c r="S64" s="58" t="str">
        <f t="shared" si="6"/>
        <v/>
      </c>
      <c r="T64" s="51" t="str">
        <f t="shared" si="7"/>
        <v/>
      </c>
      <c r="U64" s="50" t="str">
        <f t="shared" si="8"/>
        <v/>
      </c>
      <c r="V64" s="58" t="str">
        <f>IF('2027'!$G$68="","",'2027'!$G$68)</f>
        <v/>
      </c>
      <c r="W64" s="58"/>
      <c r="X64" s="51" t="str">
        <f t="shared" si="9"/>
        <v/>
      </c>
      <c r="Y64" s="51" t="str">
        <f t="shared" si="10"/>
        <v/>
      </c>
      <c r="Z64" s="80" t="str">
        <f t="shared" si="11"/>
        <v/>
      </c>
      <c r="AA64" s="60"/>
      <c r="AB64" s="51" t="str">
        <f t="shared" si="12"/>
        <v/>
      </c>
      <c r="AC64" s="58" t="str">
        <f t="shared" si="13"/>
        <v/>
      </c>
      <c r="AD64" s="80" t="str">
        <f>IF('2027'!$M$68="","",'2027'!$M$68)</f>
        <v/>
      </c>
      <c r="AE64" s="49" t="str">
        <f>IF('2027'!$N$68="","",'2027'!$N$68)</f>
        <v/>
      </c>
      <c r="AF64" s="80">
        <f>IF('2027'!$O$68="","",'2027'!$O$68)</f>
        <v>0</v>
      </c>
      <c r="AG64" s="86"/>
      <c r="AH64" s="86"/>
      <c r="AI64" s="80" t="str">
        <f>IF('2027'!$Q$68="","",'2027'!$Q$68)</f>
        <v/>
      </c>
      <c r="AJ64" s="80" t="str">
        <f t="shared" si="14"/>
        <v/>
      </c>
      <c r="AK64" s="80" t="str">
        <f t="shared" si="15"/>
        <v/>
      </c>
      <c r="AL64" s="80">
        <f>IF('2027'!$R$68="","",'2027'!$R$68)</f>
        <v>0</v>
      </c>
      <c r="AM64" s="89">
        <f t="shared" ref="AM64:AN64" si="101">IFERROR(AI64-AJ64,0)</f>
        <v>0</v>
      </c>
      <c r="AN64" s="89">
        <f t="shared" si="101"/>
        <v>0</v>
      </c>
      <c r="AO64" s="91">
        <f>IF('2027'!$S$68="","",'2027'!$S$68)</f>
        <v>0</v>
      </c>
      <c r="AP64" s="92">
        <f t="shared" si="17"/>
        <v>0</v>
      </c>
      <c r="AQ64" s="86" t="str">
        <f t="shared" si="18"/>
        <v/>
      </c>
      <c r="AR64" s="80" t="str">
        <f>IF('2027'!$T$68="","",'2027'!$T$68)</f>
        <v/>
      </c>
      <c r="AS64" s="80">
        <f>IF('2027'!$U$68="","",'2027'!$U$68)</f>
        <v>0</v>
      </c>
      <c r="AT64" s="86" t="str">
        <f t="shared" si="19"/>
        <v/>
      </c>
      <c r="AU64" s="86"/>
      <c r="AV64" s="96" t="str">
        <f t="shared" si="20"/>
        <v/>
      </c>
      <c r="AW64" s="97" t="str">
        <f t="shared" si="21"/>
        <v/>
      </c>
      <c r="AX64" s="97" t="str">
        <f t="shared" si="22"/>
        <v/>
      </c>
      <c r="AY64" s="60" t="str">
        <f t="shared" si="23"/>
        <v/>
      </c>
      <c r="AZ64" s="97" t="str">
        <f t="shared" si="24"/>
        <v/>
      </c>
      <c r="BA64" s="49" t="str">
        <f t="shared" si="25"/>
        <v/>
      </c>
      <c r="BB64" s="80" t="str">
        <f t="shared" si="26"/>
        <v/>
      </c>
      <c r="BC64" s="80" t="str">
        <f t="shared" si="27"/>
        <v/>
      </c>
      <c r="BD64" s="89">
        <f t="shared" si="28"/>
        <v>0</v>
      </c>
      <c r="BE64" s="60" t="str">
        <f t="shared" si="29"/>
        <v/>
      </c>
      <c r="BF64" s="102" t="str">
        <f t="shared" si="30"/>
        <v/>
      </c>
      <c r="BG64" s="103">
        <f t="shared" si="31"/>
        <v>-46258</v>
      </c>
      <c r="BH64" s="104" t="str">
        <f t="shared" si="32"/>
        <v/>
      </c>
      <c r="BI64" s="104" t="str">
        <f t="shared" si="33"/>
        <v/>
      </c>
      <c r="BJ64" s="104" t="str">
        <f t="shared" si="34"/>
        <v/>
      </c>
      <c r="BK64" s="104" t="str">
        <f t="shared" si="35"/>
        <v/>
      </c>
      <c r="BL64" s="104" t="str">
        <f t="shared" si="36"/>
        <v/>
      </c>
      <c r="BM64" s="57" t="str">
        <f>IF('2027'!$V$68="","",'2027'!$V$68)</f>
        <v/>
      </c>
      <c r="BN64" s="80" t="str">
        <f t="shared" si="37"/>
        <v/>
      </c>
      <c r="BO64" s="80" t="str">
        <f t="shared" si="38"/>
        <v/>
      </c>
      <c r="BP64" s="80" t="str">
        <f t="shared" si="39"/>
        <v/>
      </c>
      <c r="BQ64" s="80" t="str">
        <f t="shared" si="40"/>
        <v/>
      </c>
      <c r="BR64" s="80" t="str">
        <f t="shared" si="41"/>
        <v/>
      </c>
      <c r="BS64" s="116" t="str">
        <f t="shared" si="42"/>
        <v/>
      </c>
    </row>
    <row r="65" ht="15.0" customHeight="1">
      <c r="A65" s="49" t="str">
        <f>IF('2027'!$E$69="","",'2027'!$E$69)</f>
        <v/>
      </c>
      <c r="B65" s="50"/>
      <c r="C65" s="51" t="str">
        <f>IF('2027'!$B$69="","",'2027'!$B$69)</f>
        <v/>
      </c>
      <c r="D65" s="51" t="str">
        <f>IF('2027'!$C$69="","",'2027'!$C$69)</f>
        <v/>
      </c>
      <c r="E65" s="51" t="str">
        <f>IF('2027'!$D$69="","",'2027'!$D$69)</f>
        <v/>
      </c>
      <c r="F65" s="51" t="str">
        <f>IF('2027'!$E$69="","",'2027'!$E$69)</f>
        <v/>
      </c>
      <c r="G65" s="51" t="str">
        <f>IF('2027'!$F$69="","",'2027'!$F$69)</f>
        <v/>
      </c>
      <c r="H65" s="57" t="str">
        <f>IF('2027'!$H$69="","",'2027'!$H$69)</f>
        <v/>
      </c>
      <c r="I65" s="58"/>
      <c r="J65" s="51" t="str">
        <f>IF('2027'!$I$69="","",'2027'!$I$69)</f>
        <v/>
      </c>
      <c r="K65" s="51" t="str">
        <f t="shared" si="2"/>
        <v/>
      </c>
      <c r="L65" s="51" t="str">
        <f>IF('2027'!$J$69="","",'2027'!$J$69)</f>
        <v/>
      </c>
      <c r="M65" s="60" t="str">
        <f>IF('2027'!$K$69="","",'2027'!$K$69)</f>
        <v/>
      </c>
      <c r="N65" s="60" t="str">
        <f>IF('2027'!$L$69="","",'2027'!$L$69)</f>
        <v/>
      </c>
      <c r="O65" s="58" t="str">
        <f t="shared" si="3"/>
        <v/>
      </c>
      <c r="P65" s="58"/>
      <c r="Q65" s="51" t="str">
        <f t="shared" si="4"/>
        <v/>
      </c>
      <c r="R65" s="51" t="str">
        <f t="shared" si="5"/>
        <v/>
      </c>
      <c r="S65" s="58" t="str">
        <f t="shared" si="6"/>
        <v/>
      </c>
      <c r="T65" s="51" t="str">
        <f t="shared" si="7"/>
        <v/>
      </c>
      <c r="U65" s="50" t="str">
        <f t="shared" si="8"/>
        <v/>
      </c>
      <c r="V65" s="58" t="str">
        <f>IF('2027'!$G$69="","",'2027'!$G$69)</f>
        <v/>
      </c>
      <c r="W65" s="58"/>
      <c r="X65" s="51" t="str">
        <f t="shared" si="9"/>
        <v/>
      </c>
      <c r="Y65" s="51" t="str">
        <f t="shared" si="10"/>
        <v/>
      </c>
      <c r="Z65" s="80" t="str">
        <f t="shared" si="11"/>
        <v/>
      </c>
      <c r="AA65" s="60"/>
      <c r="AB65" s="51" t="str">
        <f t="shared" si="12"/>
        <v/>
      </c>
      <c r="AC65" s="58" t="str">
        <f t="shared" si="13"/>
        <v/>
      </c>
      <c r="AD65" s="80" t="str">
        <f>IF('2027'!$M$69="","",'2027'!$M$69)</f>
        <v/>
      </c>
      <c r="AE65" s="49" t="str">
        <f>IF('2027'!$N$69="","",'2027'!$N$69)</f>
        <v/>
      </c>
      <c r="AF65" s="80">
        <f>IF('2027'!$O$69="","",'2027'!$O$69)</f>
        <v>0</v>
      </c>
      <c r="AG65" s="86"/>
      <c r="AH65" s="86"/>
      <c r="AI65" s="80" t="str">
        <f>IF('2027'!$Q$69="","",'2027'!$Q$69)</f>
        <v/>
      </c>
      <c r="AJ65" s="80" t="str">
        <f t="shared" si="14"/>
        <v/>
      </c>
      <c r="AK65" s="80" t="str">
        <f t="shared" si="15"/>
        <v/>
      </c>
      <c r="AL65" s="80">
        <f>IF('2027'!$R$69="","",'2027'!$R$69)</f>
        <v>0</v>
      </c>
      <c r="AM65" s="89">
        <f t="shared" ref="AM65:AN65" si="102">IFERROR(AI65-AJ65,0)</f>
        <v>0</v>
      </c>
      <c r="AN65" s="89">
        <f t="shared" si="102"/>
        <v>0</v>
      </c>
      <c r="AO65" s="91">
        <f>IF('2027'!$S$69="","",'2027'!$S$69)</f>
        <v>0</v>
      </c>
      <c r="AP65" s="92">
        <f t="shared" si="17"/>
        <v>0</v>
      </c>
      <c r="AQ65" s="86" t="str">
        <f t="shared" si="18"/>
        <v/>
      </c>
      <c r="AR65" s="80" t="str">
        <f>IF('2027'!$T$69="","",'2027'!$T$69)</f>
        <v/>
      </c>
      <c r="AS65" s="80">
        <f>IF('2027'!$U$69="","",'2027'!$U$69)</f>
        <v>0</v>
      </c>
      <c r="AT65" s="86" t="str">
        <f t="shared" si="19"/>
        <v/>
      </c>
      <c r="AU65" s="86"/>
      <c r="AV65" s="96" t="str">
        <f t="shared" si="20"/>
        <v/>
      </c>
      <c r="AW65" s="97" t="str">
        <f t="shared" si="21"/>
        <v/>
      </c>
      <c r="AX65" s="97" t="str">
        <f t="shared" si="22"/>
        <v/>
      </c>
      <c r="AY65" s="60" t="str">
        <f t="shared" si="23"/>
        <v/>
      </c>
      <c r="AZ65" s="97" t="str">
        <f t="shared" si="24"/>
        <v/>
      </c>
      <c r="BA65" s="49" t="str">
        <f t="shared" si="25"/>
        <v/>
      </c>
      <c r="BB65" s="80" t="str">
        <f t="shared" si="26"/>
        <v/>
      </c>
      <c r="BC65" s="80" t="str">
        <f t="shared" si="27"/>
        <v/>
      </c>
      <c r="BD65" s="89">
        <f t="shared" si="28"/>
        <v>0</v>
      </c>
      <c r="BE65" s="60" t="str">
        <f t="shared" si="29"/>
        <v/>
      </c>
      <c r="BF65" s="102" t="str">
        <f t="shared" si="30"/>
        <v/>
      </c>
      <c r="BG65" s="103">
        <f t="shared" si="31"/>
        <v>-46258</v>
      </c>
      <c r="BH65" s="104" t="str">
        <f t="shared" si="32"/>
        <v/>
      </c>
      <c r="BI65" s="104" t="str">
        <f t="shared" si="33"/>
        <v/>
      </c>
      <c r="BJ65" s="104" t="str">
        <f t="shared" si="34"/>
        <v/>
      </c>
      <c r="BK65" s="104" t="str">
        <f t="shared" si="35"/>
        <v/>
      </c>
      <c r="BL65" s="104" t="str">
        <f t="shared" si="36"/>
        <v/>
      </c>
      <c r="BM65" s="57" t="str">
        <f>IF('2027'!$V$69="","",'2027'!$V$69)</f>
        <v/>
      </c>
      <c r="BN65" s="80" t="str">
        <f t="shared" si="37"/>
        <v/>
      </c>
      <c r="BO65" s="80" t="str">
        <f t="shared" si="38"/>
        <v/>
      </c>
      <c r="BP65" s="80" t="str">
        <f t="shared" si="39"/>
        <v/>
      </c>
      <c r="BQ65" s="80" t="str">
        <f t="shared" si="40"/>
        <v/>
      </c>
      <c r="BR65" s="80" t="str">
        <f t="shared" si="41"/>
        <v/>
      </c>
      <c r="BS65" s="116" t="str">
        <f t="shared" si="42"/>
        <v/>
      </c>
    </row>
    <row r="66" ht="15.0" customHeight="1">
      <c r="A66" s="49" t="str">
        <f>IF('2027'!$E$70="","",'2027'!$E$70)</f>
        <v/>
      </c>
      <c r="B66" s="50"/>
      <c r="C66" s="51" t="str">
        <f>IF('2027'!$B$70="","",'2027'!$B$70)</f>
        <v/>
      </c>
      <c r="D66" s="51" t="str">
        <f>IF('2027'!$C$70="","",'2027'!$C$70)</f>
        <v/>
      </c>
      <c r="E66" s="51" t="str">
        <f>IF('2027'!$D$70="","",'2027'!$D$70)</f>
        <v/>
      </c>
      <c r="F66" s="51" t="str">
        <f>IF('2027'!$E$70="","",'2027'!$E$70)</f>
        <v/>
      </c>
      <c r="G66" s="51" t="str">
        <f>IF('2027'!$F$70="","",'2027'!$F$70)</f>
        <v/>
      </c>
      <c r="H66" s="57" t="str">
        <f>IF('2027'!$H$70="","",'2027'!$H$70)</f>
        <v/>
      </c>
      <c r="I66" s="58"/>
      <c r="J66" s="51" t="str">
        <f>IF('2027'!$I$70="","",'2027'!$I$70)</f>
        <v/>
      </c>
      <c r="K66" s="51" t="str">
        <f t="shared" si="2"/>
        <v/>
      </c>
      <c r="L66" s="51" t="str">
        <f>IF('2027'!$J$70="","",'2027'!$J$70)</f>
        <v/>
      </c>
      <c r="M66" s="60" t="str">
        <f>IF('2027'!$K$70="","",'2027'!$K$70)</f>
        <v/>
      </c>
      <c r="N66" s="60" t="str">
        <f>IF('2027'!$L$70="","",'2027'!$L$70)</f>
        <v/>
      </c>
      <c r="O66" s="58" t="str">
        <f t="shared" si="3"/>
        <v/>
      </c>
      <c r="P66" s="58"/>
      <c r="Q66" s="51" t="str">
        <f t="shared" si="4"/>
        <v/>
      </c>
      <c r="R66" s="51" t="str">
        <f t="shared" si="5"/>
        <v/>
      </c>
      <c r="S66" s="58" t="str">
        <f t="shared" si="6"/>
        <v/>
      </c>
      <c r="T66" s="51" t="str">
        <f t="shared" si="7"/>
        <v/>
      </c>
      <c r="U66" s="50" t="str">
        <f t="shared" si="8"/>
        <v/>
      </c>
      <c r="V66" s="58" t="str">
        <f>IF('2027'!$G$70="","",'2027'!$G$70)</f>
        <v/>
      </c>
      <c r="W66" s="58"/>
      <c r="X66" s="51" t="str">
        <f t="shared" si="9"/>
        <v/>
      </c>
      <c r="Y66" s="51" t="str">
        <f t="shared" si="10"/>
        <v/>
      </c>
      <c r="Z66" s="80" t="str">
        <f t="shared" si="11"/>
        <v/>
      </c>
      <c r="AA66" s="60"/>
      <c r="AB66" s="51" t="str">
        <f t="shared" si="12"/>
        <v/>
      </c>
      <c r="AC66" s="58" t="str">
        <f t="shared" si="13"/>
        <v/>
      </c>
      <c r="AD66" s="80" t="str">
        <f>IF('2027'!$M$70="","",'2027'!$M$70)</f>
        <v/>
      </c>
      <c r="AE66" s="49" t="str">
        <f>IF('2027'!$N$70="","",'2027'!$N$70)</f>
        <v/>
      </c>
      <c r="AF66" s="80">
        <f>IF('2027'!$O$70="","",'2027'!$O$70)</f>
        <v>0</v>
      </c>
      <c r="AG66" s="86"/>
      <c r="AH66" s="86"/>
      <c r="AI66" s="80" t="str">
        <f>IF('2027'!$Q$70="","",'2027'!$Q$70)</f>
        <v/>
      </c>
      <c r="AJ66" s="80" t="str">
        <f t="shared" si="14"/>
        <v/>
      </c>
      <c r="AK66" s="80" t="str">
        <f t="shared" si="15"/>
        <v/>
      </c>
      <c r="AL66" s="80">
        <f>IF('2027'!$R$70="","",'2027'!$R$70)</f>
        <v>0</v>
      </c>
      <c r="AM66" s="89">
        <f t="shared" ref="AM66:AN66" si="103">IFERROR(AI66-AJ66,0)</f>
        <v>0</v>
      </c>
      <c r="AN66" s="89">
        <f t="shared" si="103"/>
        <v>0</v>
      </c>
      <c r="AO66" s="91">
        <f>IF('2027'!$S$70="","",'2027'!$S$70)</f>
        <v>0</v>
      </c>
      <c r="AP66" s="92">
        <f t="shared" si="17"/>
        <v>0</v>
      </c>
      <c r="AQ66" s="86" t="str">
        <f t="shared" si="18"/>
        <v/>
      </c>
      <c r="AR66" s="80" t="str">
        <f>IF('2027'!$T$70="","",'2027'!$T$70)</f>
        <v/>
      </c>
      <c r="AS66" s="80">
        <f>IF('2027'!$U$70="","",'2027'!$U$70)</f>
        <v>0</v>
      </c>
      <c r="AT66" s="86" t="str">
        <f t="shared" si="19"/>
        <v/>
      </c>
      <c r="AU66" s="86"/>
      <c r="AV66" s="96" t="str">
        <f t="shared" si="20"/>
        <v/>
      </c>
      <c r="AW66" s="97" t="str">
        <f t="shared" si="21"/>
        <v/>
      </c>
      <c r="AX66" s="97" t="str">
        <f t="shared" si="22"/>
        <v/>
      </c>
      <c r="AY66" s="60" t="str">
        <f t="shared" si="23"/>
        <v/>
      </c>
      <c r="AZ66" s="97" t="str">
        <f t="shared" si="24"/>
        <v/>
      </c>
      <c r="BA66" s="49" t="str">
        <f t="shared" si="25"/>
        <v/>
      </c>
      <c r="BB66" s="80" t="str">
        <f t="shared" si="26"/>
        <v/>
      </c>
      <c r="BC66" s="80" t="str">
        <f t="shared" si="27"/>
        <v/>
      </c>
      <c r="BD66" s="89">
        <f t="shared" si="28"/>
        <v>0</v>
      </c>
      <c r="BE66" s="60" t="str">
        <f t="shared" si="29"/>
        <v/>
      </c>
      <c r="BF66" s="102" t="str">
        <f t="shared" si="30"/>
        <v/>
      </c>
      <c r="BG66" s="103">
        <f t="shared" si="31"/>
        <v>-46258</v>
      </c>
      <c r="BH66" s="104" t="str">
        <f t="shared" si="32"/>
        <v/>
      </c>
      <c r="BI66" s="104" t="str">
        <f t="shared" si="33"/>
        <v/>
      </c>
      <c r="BJ66" s="104" t="str">
        <f t="shared" si="34"/>
        <v/>
      </c>
      <c r="BK66" s="104" t="str">
        <f t="shared" si="35"/>
        <v/>
      </c>
      <c r="BL66" s="104" t="str">
        <f t="shared" si="36"/>
        <v/>
      </c>
      <c r="BM66" s="57" t="str">
        <f>IF('2027'!$V$70="","",'2027'!$V$70)</f>
        <v/>
      </c>
      <c r="BN66" s="80" t="str">
        <f t="shared" si="37"/>
        <v/>
      </c>
      <c r="BO66" s="80" t="str">
        <f t="shared" si="38"/>
        <v/>
      </c>
      <c r="BP66" s="80" t="str">
        <f t="shared" si="39"/>
        <v/>
      </c>
      <c r="BQ66" s="80" t="str">
        <f t="shared" si="40"/>
        <v/>
      </c>
      <c r="BR66" s="80" t="str">
        <f t="shared" si="41"/>
        <v/>
      </c>
      <c r="BS66" s="116" t="str">
        <f t="shared" si="42"/>
        <v/>
      </c>
    </row>
    <row r="67" ht="15.0" customHeight="1">
      <c r="A67" s="49" t="str">
        <f>IF('2027'!$E$71="","",'2027'!$E$71)</f>
        <v/>
      </c>
      <c r="B67" s="50"/>
      <c r="C67" s="51" t="str">
        <f>IF('2027'!$B$71="","",'2027'!$B$71)</f>
        <v/>
      </c>
      <c r="D67" s="51" t="str">
        <f>IF('2027'!$C$71="","",'2027'!$C$71)</f>
        <v/>
      </c>
      <c r="E67" s="51" t="str">
        <f>IF('2027'!$D$71="","",'2027'!$D$71)</f>
        <v/>
      </c>
      <c r="F67" s="51" t="str">
        <f>IF('2027'!$E$71="","",'2027'!$E$71)</f>
        <v/>
      </c>
      <c r="G67" s="51" t="str">
        <f>IF('2027'!$F$71="","",'2027'!$F$71)</f>
        <v/>
      </c>
      <c r="H67" s="57" t="str">
        <f>IF('2027'!$H$71="","",'2027'!$H$71)</f>
        <v/>
      </c>
      <c r="I67" s="58"/>
      <c r="J67" s="51" t="str">
        <f>IF('2027'!$I$71="","",'2027'!$I$71)</f>
        <v/>
      </c>
      <c r="K67" s="51" t="str">
        <f t="shared" si="2"/>
        <v/>
      </c>
      <c r="L67" s="51" t="str">
        <f>IF('2027'!$J$71="","",'2027'!$J$71)</f>
        <v/>
      </c>
      <c r="M67" s="60" t="str">
        <f>IF('2027'!$K$71="","",'2027'!$K$71)</f>
        <v/>
      </c>
      <c r="N67" s="60" t="str">
        <f>IF('2027'!$L$71="","",'2027'!$L$71)</f>
        <v/>
      </c>
      <c r="O67" s="58" t="str">
        <f t="shared" si="3"/>
        <v/>
      </c>
      <c r="P67" s="58"/>
      <c r="Q67" s="51" t="str">
        <f t="shared" si="4"/>
        <v/>
      </c>
      <c r="R67" s="51" t="str">
        <f t="shared" si="5"/>
        <v/>
      </c>
      <c r="S67" s="58" t="str">
        <f t="shared" si="6"/>
        <v/>
      </c>
      <c r="T67" s="51" t="str">
        <f t="shared" si="7"/>
        <v/>
      </c>
      <c r="U67" s="50" t="str">
        <f t="shared" si="8"/>
        <v/>
      </c>
      <c r="V67" s="58" t="str">
        <f>IF('2027'!$G$71="","",'2027'!$G$71)</f>
        <v/>
      </c>
      <c r="W67" s="58"/>
      <c r="X67" s="51" t="str">
        <f t="shared" si="9"/>
        <v/>
      </c>
      <c r="Y67" s="51" t="str">
        <f t="shared" si="10"/>
        <v/>
      </c>
      <c r="Z67" s="80" t="str">
        <f t="shared" si="11"/>
        <v/>
      </c>
      <c r="AA67" s="60"/>
      <c r="AB67" s="51" t="str">
        <f t="shared" si="12"/>
        <v/>
      </c>
      <c r="AC67" s="58" t="str">
        <f t="shared" si="13"/>
        <v/>
      </c>
      <c r="AD67" s="80" t="str">
        <f>IF('2027'!$M$71="","",'2027'!$M$71)</f>
        <v/>
      </c>
      <c r="AE67" s="49" t="str">
        <f>IF('2027'!$N$71="","",'2027'!$N$71)</f>
        <v/>
      </c>
      <c r="AF67" s="80">
        <f>IF('2027'!$O$71="","",'2027'!$O$71)</f>
        <v>0</v>
      </c>
      <c r="AG67" s="86"/>
      <c r="AH67" s="86"/>
      <c r="AI67" s="80" t="str">
        <f>IF('2027'!$Q$71="","",'2027'!$Q$71)</f>
        <v/>
      </c>
      <c r="AJ67" s="80" t="str">
        <f t="shared" si="14"/>
        <v/>
      </c>
      <c r="AK67" s="80" t="str">
        <f t="shared" si="15"/>
        <v/>
      </c>
      <c r="AL67" s="80">
        <f>IF('2027'!$R$71="","",'2027'!$R$71)</f>
        <v>0</v>
      </c>
      <c r="AM67" s="89">
        <f t="shared" ref="AM67:AN67" si="104">IFERROR(AI67-AJ67,0)</f>
        <v>0</v>
      </c>
      <c r="AN67" s="89">
        <f t="shared" si="104"/>
        <v>0</v>
      </c>
      <c r="AO67" s="91">
        <f>IF('2027'!$S$71="","",'2027'!$S$71)</f>
        <v>0</v>
      </c>
      <c r="AP67" s="92">
        <f t="shared" si="17"/>
        <v>0</v>
      </c>
      <c r="AQ67" s="86" t="str">
        <f t="shared" si="18"/>
        <v/>
      </c>
      <c r="AR67" s="80" t="str">
        <f>IF('2027'!$T$71="","",'2027'!$T$71)</f>
        <v/>
      </c>
      <c r="AS67" s="80">
        <f>IF('2027'!$U$71="","",'2027'!$U$71)</f>
        <v>0</v>
      </c>
      <c r="AT67" s="86" t="str">
        <f t="shared" si="19"/>
        <v/>
      </c>
      <c r="AU67" s="86"/>
      <c r="AV67" s="96" t="str">
        <f t="shared" si="20"/>
        <v/>
      </c>
      <c r="AW67" s="97" t="str">
        <f t="shared" si="21"/>
        <v/>
      </c>
      <c r="AX67" s="97" t="str">
        <f t="shared" si="22"/>
        <v/>
      </c>
      <c r="AY67" s="60" t="str">
        <f t="shared" si="23"/>
        <v/>
      </c>
      <c r="AZ67" s="97" t="str">
        <f t="shared" si="24"/>
        <v/>
      </c>
      <c r="BA67" s="49" t="str">
        <f t="shared" si="25"/>
        <v/>
      </c>
      <c r="BB67" s="80" t="str">
        <f t="shared" si="26"/>
        <v/>
      </c>
      <c r="BC67" s="80" t="str">
        <f t="shared" si="27"/>
        <v/>
      </c>
      <c r="BD67" s="89">
        <f t="shared" si="28"/>
        <v>0</v>
      </c>
      <c r="BE67" s="60" t="str">
        <f t="shared" si="29"/>
        <v/>
      </c>
      <c r="BF67" s="102" t="str">
        <f t="shared" si="30"/>
        <v/>
      </c>
      <c r="BG67" s="103">
        <f t="shared" si="31"/>
        <v>-46258</v>
      </c>
      <c r="BH67" s="104" t="str">
        <f t="shared" si="32"/>
        <v/>
      </c>
      <c r="BI67" s="104" t="str">
        <f t="shared" si="33"/>
        <v/>
      </c>
      <c r="BJ67" s="104" t="str">
        <f t="shared" si="34"/>
        <v/>
      </c>
      <c r="BK67" s="104" t="str">
        <f t="shared" si="35"/>
        <v/>
      </c>
      <c r="BL67" s="104" t="str">
        <f t="shared" si="36"/>
        <v/>
      </c>
      <c r="BM67" s="57" t="str">
        <f>IF('2027'!$V$71="","",'2027'!$V$71)</f>
        <v/>
      </c>
      <c r="BN67" s="80" t="str">
        <f t="shared" si="37"/>
        <v/>
      </c>
      <c r="BO67" s="80" t="str">
        <f t="shared" si="38"/>
        <v/>
      </c>
      <c r="BP67" s="80" t="str">
        <f t="shared" si="39"/>
        <v/>
      </c>
      <c r="BQ67" s="80" t="str">
        <f t="shared" si="40"/>
        <v/>
      </c>
      <c r="BR67" s="80" t="str">
        <f t="shared" si="41"/>
        <v/>
      </c>
      <c r="BS67" s="116" t="str">
        <f t="shared" si="42"/>
        <v/>
      </c>
    </row>
    <row r="68" ht="15.0" customHeight="1">
      <c r="A68" s="49" t="str">
        <f>IF('2027'!$E$72="","",'2027'!$E$72)</f>
        <v/>
      </c>
      <c r="B68" s="50"/>
      <c r="C68" s="51" t="str">
        <f>IF('2027'!$B$72="","",'2027'!$B$72)</f>
        <v/>
      </c>
      <c r="D68" s="51" t="str">
        <f>IF('2027'!$C$72="","",'2027'!$C$72)</f>
        <v/>
      </c>
      <c r="E68" s="51" t="str">
        <f>IF('2027'!$D$72="","",'2027'!$D$72)</f>
        <v/>
      </c>
      <c r="F68" s="51" t="str">
        <f>IF('2027'!$E$72="","",'2027'!$E$72)</f>
        <v/>
      </c>
      <c r="G68" s="51" t="str">
        <f>IF('2027'!$F$72="","",'2027'!$F$72)</f>
        <v/>
      </c>
      <c r="H68" s="57" t="str">
        <f>IF('2027'!$H$72="","",'2027'!$H$72)</f>
        <v/>
      </c>
      <c r="I68" s="58"/>
      <c r="J68" s="51" t="str">
        <f>IF('2027'!$I$72="","",'2027'!$I$72)</f>
        <v/>
      </c>
      <c r="K68" s="51" t="str">
        <f t="shared" si="2"/>
        <v/>
      </c>
      <c r="L68" s="51" t="str">
        <f>IF('2027'!$J$72="","",'2027'!$J$72)</f>
        <v/>
      </c>
      <c r="M68" s="60" t="str">
        <f>IF('2027'!$K$72="","",'2027'!$K$72)</f>
        <v/>
      </c>
      <c r="N68" s="60" t="str">
        <f>IF('2027'!$L$72="","",'2027'!$L$72)</f>
        <v/>
      </c>
      <c r="O68" s="58" t="str">
        <f t="shared" si="3"/>
        <v/>
      </c>
      <c r="P68" s="58"/>
      <c r="Q68" s="51" t="str">
        <f t="shared" si="4"/>
        <v/>
      </c>
      <c r="R68" s="51" t="str">
        <f t="shared" si="5"/>
        <v/>
      </c>
      <c r="S68" s="58" t="str">
        <f t="shared" si="6"/>
        <v/>
      </c>
      <c r="T68" s="51" t="str">
        <f t="shared" si="7"/>
        <v/>
      </c>
      <c r="U68" s="50" t="str">
        <f t="shared" si="8"/>
        <v/>
      </c>
      <c r="V68" s="58" t="str">
        <f>IF('2027'!$G$72="","",'2027'!$G$72)</f>
        <v/>
      </c>
      <c r="W68" s="58"/>
      <c r="X68" s="51" t="str">
        <f t="shared" si="9"/>
        <v/>
      </c>
      <c r="Y68" s="51" t="str">
        <f t="shared" si="10"/>
        <v/>
      </c>
      <c r="Z68" s="80" t="str">
        <f t="shared" si="11"/>
        <v/>
      </c>
      <c r="AA68" s="60"/>
      <c r="AB68" s="51" t="str">
        <f t="shared" si="12"/>
        <v/>
      </c>
      <c r="AC68" s="58" t="str">
        <f t="shared" si="13"/>
        <v/>
      </c>
      <c r="AD68" s="80" t="str">
        <f>IF('2027'!$M$72="","",'2027'!$M$72)</f>
        <v/>
      </c>
      <c r="AE68" s="49" t="str">
        <f>IF('2027'!$N$72="","",'2027'!$N$72)</f>
        <v/>
      </c>
      <c r="AF68" s="80">
        <f>IF('2027'!$O$72="","",'2027'!$O$72)</f>
        <v>0</v>
      </c>
      <c r="AG68" s="86"/>
      <c r="AH68" s="86"/>
      <c r="AI68" s="80" t="str">
        <f>IF('2027'!$Q$72="","",'2027'!$Q$72)</f>
        <v/>
      </c>
      <c r="AJ68" s="80" t="str">
        <f t="shared" si="14"/>
        <v/>
      </c>
      <c r="AK68" s="80" t="str">
        <f t="shared" si="15"/>
        <v/>
      </c>
      <c r="AL68" s="80">
        <f>IF('2027'!$R$72="","",'2027'!$R$72)</f>
        <v>0</v>
      </c>
      <c r="AM68" s="89">
        <f t="shared" ref="AM68:AN68" si="105">IFERROR(AI68-AJ68,0)</f>
        <v>0</v>
      </c>
      <c r="AN68" s="89">
        <f t="shared" si="105"/>
        <v>0</v>
      </c>
      <c r="AO68" s="91">
        <f>IF('2027'!$S$72="","",'2027'!$S$72)</f>
        <v>0</v>
      </c>
      <c r="AP68" s="92">
        <f t="shared" si="17"/>
        <v>0</v>
      </c>
      <c r="AQ68" s="86" t="str">
        <f t="shared" si="18"/>
        <v/>
      </c>
      <c r="AR68" s="80" t="str">
        <f>IF('2027'!$T$72="","",'2027'!$T$72)</f>
        <v/>
      </c>
      <c r="AS68" s="80">
        <f>IF('2027'!$U$72="","",'2027'!$U$72)</f>
        <v>0</v>
      </c>
      <c r="AT68" s="86" t="str">
        <f t="shared" si="19"/>
        <v/>
      </c>
      <c r="AU68" s="86"/>
      <c r="AV68" s="96" t="str">
        <f t="shared" si="20"/>
        <v/>
      </c>
      <c r="AW68" s="97" t="str">
        <f t="shared" si="21"/>
        <v/>
      </c>
      <c r="AX68" s="97" t="str">
        <f t="shared" si="22"/>
        <v/>
      </c>
      <c r="AY68" s="60" t="str">
        <f t="shared" si="23"/>
        <v/>
      </c>
      <c r="AZ68" s="97" t="str">
        <f t="shared" si="24"/>
        <v/>
      </c>
      <c r="BA68" s="49" t="str">
        <f t="shared" si="25"/>
        <v/>
      </c>
      <c r="BB68" s="80" t="str">
        <f t="shared" si="26"/>
        <v/>
      </c>
      <c r="BC68" s="80" t="str">
        <f t="shared" si="27"/>
        <v/>
      </c>
      <c r="BD68" s="89">
        <f t="shared" si="28"/>
        <v>0</v>
      </c>
      <c r="BE68" s="60" t="str">
        <f t="shared" si="29"/>
        <v/>
      </c>
      <c r="BF68" s="102" t="str">
        <f t="shared" si="30"/>
        <v/>
      </c>
      <c r="BG68" s="103">
        <f t="shared" si="31"/>
        <v>-46258</v>
      </c>
      <c r="BH68" s="104" t="str">
        <f t="shared" si="32"/>
        <v/>
      </c>
      <c r="BI68" s="104" t="str">
        <f t="shared" si="33"/>
        <v/>
      </c>
      <c r="BJ68" s="104" t="str">
        <f t="shared" si="34"/>
        <v/>
      </c>
      <c r="BK68" s="104" t="str">
        <f t="shared" si="35"/>
        <v/>
      </c>
      <c r="BL68" s="104" t="str">
        <f t="shared" si="36"/>
        <v/>
      </c>
      <c r="BM68" s="57" t="str">
        <f>IF('2027'!$V$72="","",'2027'!$V$72)</f>
        <v/>
      </c>
      <c r="BN68" s="80" t="str">
        <f t="shared" si="37"/>
        <v/>
      </c>
      <c r="BO68" s="80" t="str">
        <f t="shared" si="38"/>
        <v/>
      </c>
      <c r="BP68" s="80" t="str">
        <f t="shared" si="39"/>
        <v/>
      </c>
      <c r="BQ68" s="80" t="str">
        <f t="shared" si="40"/>
        <v/>
      </c>
      <c r="BR68" s="80" t="str">
        <f t="shared" si="41"/>
        <v/>
      </c>
      <c r="BS68" s="116" t="str">
        <f t="shared" si="42"/>
        <v/>
      </c>
    </row>
    <row r="69" ht="15.0" customHeight="1">
      <c r="A69" s="49" t="str">
        <f>IF('2027'!$E$73="","",'2027'!$E$73)</f>
        <v/>
      </c>
      <c r="B69" s="50"/>
      <c r="C69" s="51" t="str">
        <f>IF('2027'!$B$73="","",'2027'!$B$73)</f>
        <v/>
      </c>
      <c r="D69" s="51" t="str">
        <f>IF('2027'!$C$73="","",'2027'!$C$73)</f>
        <v/>
      </c>
      <c r="E69" s="51" t="str">
        <f>IF('2027'!$D$73="","",'2027'!$D$73)</f>
        <v/>
      </c>
      <c r="F69" s="51" t="str">
        <f>IF('2027'!$E$73="","",'2027'!$E$73)</f>
        <v/>
      </c>
      <c r="G69" s="51" t="str">
        <f>IF('2027'!$F$73="","",'2027'!$F$73)</f>
        <v/>
      </c>
      <c r="H69" s="57" t="str">
        <f>IF('2027'!$H$73="","",'2027'!$H$73)</f>
        <v/>
      </c>
      <c r="I69" s="58"/>
      <c r="J69" s="51" t="str">
        <f>IF('2027'!$I$73="","",'2027'!$I$73)</f>
        <v/>
      </c>
      <c r="K69" s="51" t="str">
        <f t="shared" si="2"/>
        <v/>
      </c>
      <c r="L69" s="51" t="str">
        <f>IF('2027'!$J$73="","",'2027'!$J$73)</f>
        <v/>
      </c>
      <c r="M69" s="60" t="str">
        <f>IF('2027'!$K$73="","",'2027'!$K$73)</f>
        <v/>
      </c>
      <c r="N69" s="60" t="str">
        <f>IF('2027'!$L$73="","",'2027'!$L$73)</f>
        <v/>
      </c>
      <c r="O69" s="58" t="str">
        <f t="shared" si="3"/>
        <v/>
      </c>
      <c r="P69" s="58"/>
      <c r="Q69" s="51" t="str">
        <f t="shared" si="4"/>
        <v/>
      </c>
      <c r="R69" s="51" t="str">
        <f t="shared" si="5"/>
        <v/>
      </c>
      <c r="S69" s="58" t="str">
        <f t="shared" si="6"/>
        <v/>
      </c>
      <c r="T69" s="51" t="str">
        <f t="shared" si="7"/>
        <v/>
      </c>
      <c r="U69" s="50" t="str">
        <f t="shared" si="8"/>
        <v/>
      </c>
      <c r="V69" s="58" t="str">
        <f>IF('2027'!$G$73="","",'2027'!$G$73)</f>
        <v/>
      </c>
      <c r="W69" s="58"/>
      <c r="X69" s="51" t="str">
        <f t="shared" si="9"/>
        <v/>
      </c>
      <c r="Y69" s="51" t="str">
        <f t="shared" si="10"/>
        <v/>
      </c>
      <c r="Z69" s="80" t="str">
        <f t="shared" si="11"/>
        <v/>
      </c>
      <c r="AA69" s="60"/>
      <c r="AB69" s="51" t="str">
        <f t="shared" si="12"/>
        <v/>
      </c>
      <c r="AC69" s="58" t="str">
        <f t="shared" si="13"/>
        <v/>
      </c>
      <c r="AD69" s="80" t="str">
        <f>IF('2027'!$M$73="","",'2027'!$M$73)</f>
        <v/>
      </c>
      <c r="AE69" s="49" t="str">
        <f>IF('2027'!$N$73="","",'2027'!$N$73)</f>
        <v/>
      </c>
      <c r="AF69" s="80">
        <f>IF('2027'!$O$73="","",'2027'!$O$73)</f>
        <v>0</v>
      </c>
      <c r="AG69" s="86"/>
      <c r="AH69" s="86"/>
      <c r="AI69" s="80" t="str">
        <f>IF('2027'!$Q$73="","",'2027'!$Q$73)</f>
        <v/>
      </c>
      <c r="AJ69" s="80" t="str">
        <f t="shared" si="14"/>
        <v/>
      </c>
      <c r="AK69" s="80" t="str">
        <f t="shared" si="15"/>
        <v/>
      </c>
      <c r="AL69" s="80">
        <f>IF('2027'!$R$73="","",'2027'!$R$73)</f>
        <v>0</v>
      </c>
      <c r="AM69" s="89">
        <f t="shared" ref="AM69:AN69" si="106">IFERROR(AI69-AJ69,0)</f>
        <v>0</v>
      </c>
      <c r="AN69" s="89">
        <f t="shared" si="106"/>
        <v>0</v>
      </c>
      <c r="AO69" s="91">
        <f>IF('2027'!$S$73="","",'2027'!$S$73)</f>
        <v>0</v>
      </c>
      <c r="AP69" s="92">
        <f t="shared" si="17"/>
        <v>0</v>
      </c>
      <c r="AQ69" s="86" t="str">
        <f t="shared" si="18"/>
        <v/>
      </c>
      <c r="AR69" s="80" t="str">
        <f>IF('2027'!$T$73="","",'2027'!$T$73)</f>
        <v/>
      </c>
      <c r="AS69" s="80">
        <f>IF('2027'!$U$73="","",'2027'!$U$73)</f>
        <v>0</v>
      </c>
      <c r="AT69" s="86" t="str">
        <f t="shared" si="19"/>
        <v/>
      </c>
      <c r="AU69" s="86"/>
      <c r="AV69" s="96" t="str">
        <f t="shared" si="20"/>
        <v/>
      </c>
      <c r="AW69" s="97" t="str">
        <f t="shared" si="21"/>
        <v/>
      </c>
      <c r="AX69" s="97" t="str">
        <f t="shared" si="22"/>
        <v/>
      </c>
      <c r="AY69" s="60" t="str">
        <f t="shared" si="23"/>
        <v/>
      </c>
      <c r="AZ69" s="97" t="str">
        <f t="shared" si="24"/>
        <v/>
      </c>
      <c r="BA69" s="49" t="str">
        <f t="shared" si="25"/>
        <v/>
      </c>
      <c r="BB69" s="80" t="str">
        <f t="shared" si="26"/>
        <v/>
      </c>
      <c r="BC69" s="80" t="str">
        <f t="shared" si="27"/>
        <v/>
      </c>
      <c r="BD69" s="89">
        <f t="shared" si="28"/>
        <v>0</v>
      </c>
      <c r="BE69" s="60" t="str">
        <f t="shared" si="29"/>
        <v/>
      </c>
      <c r="BF69" s="102" t="str">
        <f t="shared" si="30"/>
        <v/>
      </c>
      <c r="BG69" s="103">
        <f t="shared" si="31"/>
        <v>-46258</v>
      </c>
      <c r="BH69" s="104" t="str">
        <f t="shared" si="32"/>
        <v/>
      </c>
      <c r="BI69" s="104" t="str">
        <f t="shared" si="33"/>
        <v/>
      </c>
      <c r="BJ69" s="104" t="str">
        <f t="shared" si="34"/>
        <v/>
      </c>
      <c r="BK69" s="104" t="str">
        <f t="shared" si="35"/>
        <v/>
      </c>
      <c r="BL69" s="104" t="str">
        <f t="shared" si="36"/>
        <v/>
      </c>
      <c r="BM69" s="57" t="str">
        <f>IF('2027'!$V$73="","",'2027'!$V$73)</f>
        <v/>
      </c>
      <c r="BN69" s="80" t="str">
        <f t="shared" si="37"/>
        <v/>
      </c>
      <c r="BO69" s="80" t="str">
        <f t="shared" si="38"/>
        <v/>
      </c>
      <c r="BP69" s="80" t="str">
        <f t="shared" si="39"/>
        <v/>
      </c>
      <c r="BQ69" s="80" t="str">
        <f t="shared" si="40"/>
        <v/>
      </c>
      <c r="BR69" s="80" t="str">
        <f t="shared" si="41"/>
        <v/>
      </c>
      <c r="BS69" s="116" t="str">
        <f t="shared" si="42"/>
        <v/>
      </c>
    </row>
    <row r="70" ht="15.0" customHeight="1">
      <c r="A70" s="49" t="str">
        <f>IF('2027'!$E$74="","",'2027'!$E$74)</f>
        <v/>
      </c>
      <c r="B70" s="50"/>
      <c r="C70" s="51" t="str">
        <f>IF('2027'!$B$74="","",'2027'!$B$74)</f>
        <v/>
      </c>
      <c r="D70" s="51" t="str">
        <f>IF('2027'!$C$74="","",'2027'!$C$74)</f>
        <v/>
      </c>
      <c r="E70" s="51" t="str">
        <f>IF('2027'!$D$74="","",'2027'!$D$74)</f>
        <v/>
      </c>
      <c r="F70" s="51" t="str">
        <f>IF('2027'!$E$74="","",'2027'!$E$74)</f>
        <v/>
      </c>
      <c r="G70" s="51" t="str">
        <f>IF('2027'!$F$74="","",'2027'!$F$74)</f>
        <v/>
      </c>
      <c r="H70" s="57" t="str">
        <f>IF('2027'!$H$74="","",'2027'!$H$74)</f>
        <v/>
      </c>
      <c r="I70" s="58"/>
      <c r="J70" s="51" t="str">
        <f>IF('2027'!$I$74="","",'2027'!$I$74)</f>
        <v/>
      </c>
      <c r="K70" s="51" t="str">
        <f t="shared" si="2"/>
        <v/>
      </c>
      <c r="L70" s="51" t="str">
        <f>IF('2027'!$J$74="","",'2027'!$J$74)</f>
        <v/>
      </c>
      <c r="M70" s="60" t="str">
        <f>IF('2027'!$K$74="","",'2027'!$K$74)</f>
        <v/>
      </c>
      <c r="N70" s="60" t="str">
        <f>IF('2027'!$L$74="","",'2027'!$L$74)</f>
        <v/>
      </c>
      <c r="O70" s="58" t="str">
        <f t="shared" si="3"/>
        <v/>
      </c>
      <c r="P70" s="58"/>
      <c r="Q70" s="51" t="str">
        <f t="shared" si="4"/>
        <v/>
      </c>
      <c r="R70" s="51" t="str">
        <f t="shared" si="5"/>
        <v/>
      </c>
      <c r="S70" s="58" t="str">
        <f t="shared" si="6"/>
        <v/>
      </c>
      <c r="T70" s="51" t="str">
        <f t="shared" si="7"/>
        <v/>
      </c>
      <c r="U70" s="50" t="str">
        <f t="shared" si="8"/>
        <v/>
      </c>
      <c r="V70" s="58" t="str">
        <f>IF('2027'!$G$74="","",'2027'!$G$74)</f>
        <v/>
      </c>
      <c r="W70" s="58"/>
      <c r="X70" s="51" t="str">
        <f t="shared" si="9"/>
        <v/>
      </c>
      <c r="Y70" s="51" t="str">
        <f t="shared" si="10"/>
        <v/>
      </c>
      <c r="Z70" s="80" t="str">
        <f t="shared" si="11"/>
        <v/>
      </c>
      <c r="AA70" s="60"/>
      <c r="AB70" s="51" t="str">
        <f t="shared" si="12"/>
        <v/>
      </c>
      <c r="AC70" s="58" t="str">
        <f t="shared" si="13"/>
        <v/>
      </c>
      <c r="AD70" s="80" t="str">
        <f>IF('2027'!$M$74="","",'2027'!$M$74)</f>
        <v/>
      </c>
      <c r="AE70" s="49" t="str">
        <f>IF('2027'!$N$74="","",'2027'!$N$74)</f>
        <v/>
      </c>
      <c r="AF70" s="80">
        <f>IF('2027'!$O$74="","",'2027'!$O$74)</f>
        <v>0</v>
      </c>
      <c r="AG70" s="86"/>
      <c r="AH70" s="86"/>
      <c r="AI70" s="80" t="str">
        <f>IF('2027'!$Q$74="","",'2027'!$Q$74)</f>
        <v/>
      </c>
      <c r="AJ70" s="80" t="str">
        <f t="shared" si="14"/>
        <v/>
      </c>
      <c r="AK70" s="80" t="str">
        <f t="shared" si="15"/>
        <v/>
      </c>
      <c r="AL70" s="80">
        <f>IF('2027'!$R$74="","",'2027'!$R$74)</f>
        <v>0</v>
      </c>
      <c r="AM70" s="89">
        <f t="shared" ref="AM70:AN70" si="107">IFERROR(AI70-AJ70,0)</f>
        <v>0</v>
      </c>
      <c r="AN70" s="89">
        <f t="shared" si="107"/>
        <v>0</v>
      </c>
      <c r="AO70" s="91">
        <f>IF('2027'!$S$74="","",'2027'!$S$74)</f>
        <v>0</v>
      </c>
      <c r="AP70" s="92">
        <f t="shared" si="17"/>
        <v>0</v>
      </c>
      <c r="AQ70" s="86" t="str">
        <f t="shared" si="18"/>
        <v/>
      </c>
      <c r="AR70" s="80" t="str">
        <f>IF('2027'!$T$74="","",'2027'!$T$74)</f>
        <v/>
      </c>
      <c r="AS70" s="80">
        <f>IF('2027'!$U$74="","",'2027'!$U$74)</f>
        <v>0</v>
      </c>
      <c r="AT70" s="86" t="str">
        <f t="shared" si="19"/>
        <v/>
      </c>
      <c r="AU70" s="86"/>
      <c r="AV70" s="96" t="str">
        <f t="shared" si="20"/>
        <v/>
      </c>
      <c r="AW70" s="97" t="str">
        <f t="shared" si="21"/>
        <v/>
      </c>
      <c r="AX70" s="97" t="str">
        <f t="shared" si="22"/>
        <v/>
      </c>
      <c r="AY70" s="60" t="str">
        <f t="shared" si="23"/>
        <v/>
      </c>
      <c r="AZ70" s="97" t="str">
        <f t="shared" si="24"/>
        <v/>
      </c>
      <c r="BA70" s="49" t="str">
        <f t="shared" si="25"/>
        <v/>
      </c>
      <c r="BB70" s="80" t="str">
        <f t="shared" si="26"/>
        <v/>
      </c>
      <c r="BC70" s="80" t="str">
        <f t="shared" si="27"/>
        <v/>
      </c>
      <c r="BD70" s="89">
        <f t="shared" si="28"/>
        <v>0</v>
      </c>
      <c r="BE70" s="60" t="str">
        <f t="shared" si="29"/>
        <v/>
      </c>
      <c r="BF70" s="102" t="str">
        <f t="shared" si="30"/>
        <v/>
      </c>
      <c r="BG70" s="103">
        <f t="shared" si="31"/>
        <v>-46258</v>
      </c>
      <c r="BH70" s="104" t="str">
        <f t="shared" si="32"/>
        <v/>
      </c>
      <c r="BI70" s="104" t="str">
        <f t="shared" si="33"/>
        <v/>
      </c>
      <c r="BJ70" s="104" t="str">
        <f t="shared" si="34"/>
        <v/>
      </c>
      <c r="BK70" s="104" t="str">
        <f t="shared" si="35"/>
        <v/>
      </c>
      <c r="BL70" s="104" t="str">
        <f t="shared" si="36"/>
        <v/>
      </c>
      <c r="BM70" s="57" t="str">
        <f>IF('2027'!$V$74="","",'2027'!$V$74)</f>
        <v/>
      </c>
      <c r="BN70" s="80" t="str">
        <f t="shared" si="37"/>
        <v/>
      </c>
      <c r="BO70" s="80" t="str">
        <f t="shared" si="38"/>
        <v/>
      </c>
      <c r="BP70" s="80" t="str">
        <f t="shared" si="39"/>
        <v/>
      </c>
      <c r="BQ70" s="80" t="str">
        <f t="shared" si="40"/>
        <v/>
      </c>
      <c r="BR70" s="80" t="str">
        <f t="shared" si="41"/>
        <v/>
      </c>
      <c r="BS70" s="116" t="str">
        <f t="shared" si="42"/>
        <v/>
      </c>
    </row>
    <row r="71" ht="15.0" customHeight="1">
      <c r="A71" s="49" t="str">
        <f>IF('2027'!$E$75="","",'2027'!$E$75)</f>
        <v/>
      </c>
      <c r="B71" s="50"/>
      <c r="C71" s="51" t="str">
        <f>IF('2027'!$B$75="","",'2027'!$B$75)</f>
        <v/>
      </c>
      <c r="D71" s="51" t="str">
        <f>IF('2027'!$C$75="","",'2027'!$C$75)</f>
        <v/>
      </c>
      <c r="E71" s="51" t="str">
        <f>IF('2027'!$D$75="","",'2027'!$D$75)</f>
        <v/>
      </c>
      <c r="F71" s="51" t="str">
        <f>IF('2027'!$E$75="","",'2027'!$E$75)</f>
        <v/>
      </c>
      <c r="G71" s="51" t="str">
        <f>IF('2027'!$F$75="","",'2027'!$F$75)</f>
        <v/>
      </c>
      <c r="H71" s="57" t="str">
        <f>IF('2027'!$H$75="","",'2027'!$H$75)</f>
        <v/>
      </c>
      <c r="I71" s="58"/>
      <c r="J71" s="51" t="str">
        <f>IF('2027'!$I$75="","",'2027'!$I$75)</f>
        <v/>
      </c>
      <c r="K71" s="51" t="str">
        <f t="shared" si="2"/>
        <v/>
      </c>
      <c r="L71" s="51" t="str">
        <f>IF('2027'!$J$75="","",'2027'!$J$75)</f>
        <v/>
      </c>
      <c r="M71" s="60" t="str">
        <f>IF('2027'!$K$75="","",'2027'!$K$75)</f>
        <v/>
      </c>
      <c r="N71" s="60" t="str">
        <f>IF('2027'!$L$75="","",'2027'!$L$75)</f>
        <v/>
      </c>
      <c r="O71" s="58" t="str">
        <f t="shared" si="3"/>
        <v/>
      </c>
      <c r="P71" s="58"/>
      <c r="Q71" s="51" t="str">
        <f t="shared" si="4"/>
        <v/>
      </c>
      <c r="R71" s="51" t="str">
        <f t="shared" si="5"/>
        <v/>
      </c>
      <c r="S71" s="58" t="str">
        <f t="shared" si="6"/>
        <v/>
      </c>
      <c r="T71" s="51" t="str">
        <f t="shared" si="7"/>
        <v/>
      </c>
      <c r="U71" s="50" t="str">
        <f t="shared" si="8"/>
        <v/>
      </c>
      <c r="V71" s="58" t="str">
        <f>IF('2027'!$G$75="","",'2027'!$G$75)</f>
        <v/>
      </c>
      <c r="W71" s="58"/>
      <c r="X71" s="51" t="str">
        <f t="shared" si="9"/>
        <v/>
      </c>
      <c r="Y71" s="51" t="str">
        <f t="shared" si="10"/>
        <v/>
      </c>
      <c r="Z71" s="80" t="str">
        <f t="shared" si="11"/>
        <v/>
      </c>
      <c r="AA71" s="60"/>
      <c r="AB71" s="51" t="str">
        <f t="shared" si="12"/>
        <v/>
      </c>
      <c r="AC71" s="58" t="str">
        <f t="shared" si="13"/>
        <v/>
      </c>
      <c r="AD71" s="80" t="str">
        <f>IF('2027'!$M$75="","",'2027'!$M$75)</f>
        <v/>
      </c>
      <c r="AE71" s="49" t="str">
        <f>IF('2027'!$N$75="","",'2027'!$N$75)</f>
        <v/>
      </c>
      <c r="AF71" s="80">
        <f>IF('2027'!$O$75="","",'2027'!$O$75)</f>
        <v>0</v>
      </c>
      <c r="AG71" s="86"/>
      <c r="AH71" s="86"/>
      <c r="AI71" s="80" t="str">
        <f>IF('2027'!$Q$75="","",'2027'!$Q$75)</f>
        <v/>
      </c>
      <c r="AJ71" s="80" t="str">
        <f t="shared" si="14"/>
        <v/>
      </c>
      <c r="AK71" s="80" t="str">
        <f t="shared" si="15"/>
        <v/>
      </c>
      <c r="AL71" s="80">
        <f>IF('2027'!$R$75="","",'2027'!$R$75)</f>
        <v>0</v>
      </c>
      <c r="AM71" s="89">
        <f t="shared" ref="AM71:AN71" si="108">IFERROR(AI71-AJ71,0)</f>
        <v>0</v>
      </c>
      <c r="AN71" s="89">
        <f t="shared" si="108"/>
        <v>0</v>
      </c>
      <c r="AO71" s="91">
        <f>IF('2027'!$S$75="","",'2027'!$S$75)</f>
        <v>0</v>
      </c>
      <c r="AP71" s="92">
        <f t="shared" si="17"/>
        <v>0</v>
      </c>
      <c r="AQ71" s="86" t="str">
        <f t="shared" si="18"/>
        <v/>
      </c>
      <c r="AR71" s="80" t="str">
        <f>IF('2027'!$T$75="","",'2027'!$T$75)</f>
        <v/>
      </c>
      <c r="AS71" s="80">
        <f>IF('2027'!$U$75="","",'2027'!$U$75)</f>
        <v>0</v>
      </c>
      <c r="AT71" s="86" t="str">
        <f t="shared" si="19"/>
        <v/>
      </c>
      <c r="AU71" s="86"/>
      <c r="AV71" s="96" t="str">
        <f t="shared" si="20"/>
        <v/>
      </c>
      <c r="AW71" s="97" t="str">
        <f t="shared" si="21"/>
        <v/>
      </c>
      <c r="AX71" s="97" t="str">
        <f t="shared" si="22"/>
        <v/>
      </c>
      <c r="AY71" s="60" t="str">
        <f t="shared" si="23"/>
        <v/>
      </c>
      <c r="AZ71" s="97" t="str">
        <f t="shared" si="24"/>
        <v/>
      </c>
      <c r="BA71" s="49" t="str">
        <f t="shared" si="25"/>
        <v/>
      </c>
      <c r="BB71" s="80" t="str">
        <f t="shared" si="26"/>
        <v/>
      </c>
      <c r="BC71" s="80" t="str">
        <f t="shared" si="27"/>
        <v/>
      </c>
      <c r="BD71" s="89">
        <f t="shared" si="28"/>
        <v>0</v>
      </c>
      <c r="BE71" s="60" t="str">
        <f t="shared" si="29"/>
        <v/>
      </c>
      <c r="BF71" s="102" t="str">
        <f t="shared" si="30"/>
        <v/>
      </c>
      <c r="BG71" s="103">
        <f t="shared" si="31"/>
        <v>-46258</v>
      </c>
      <c r="BH71" s="104" t="str">
        <f t="shared" si="32"/>
        <v/>
      </c>
      <c r="BI71" s="104" t="str">
        <f t="shared" si="33"/>
        <v/>
      </c>
      <c r="BJ71" s="104" t="str">
        <f t="shared" si="34"/>
        <v/>
      </c>
      <c r="BK71" s="104" t="str">
        <f t="shared" si="35"/>
        <v/>
      </c>
      <c r="BL71" s="104" t="str">
        <f t="shared" si="36"/>
        <v/>
      </c>
      <c r="BM71" s="57" t="str">
        <f>IF('2027'!$V$75="","",'2027'!$V$75)</f>
        <v/>
      </c>
      <c r="BN71" s="80" t="str">
        <f t="shared" si="37"/>
        <v/>
      </c>
      <c r="BO71" s="80" t="str">
        <f t="shared" si="38"/>
        <v/>
      </c>
      <c r="BP71" s="80" t="str">
        <f t="shared" si="39"/>
        <v/>
      </c>
      <c r="BQ71" s="80" t="str">
        <f t="shared" si="40"/>
        <v/>
      </c>
      <c r="BR71" s="80" t="str">
        <f t="shared" si="41"/>
        <v/>
      </c>
      <c r="BS71" s="116" t="str">
        <f t="shared" si="42"/>
        <v/>
      </c>
    </row>
    <row r="72" ht="15.0" customHeight="1">
      <c r="A72" s="49" t="str">
        <f>IF('2027'!$E$76="","",'2027'!$E$76)</f>
        <v/>
      </c>
      <c r="B72" s="50"/>
      <c r="C72" s="51" t="str">
        <f>IF('2027'!$B$76="","",'2027'!$B$76)</f>
        <v/>
      </c>
      <c r="D72" s="51" t="str">
        <f>IF('2027'!$C$76="","",'2027'!$C$76)</f>
        <v/>
      </c>
      <c r="E72" s="51" t="str">
        <f>IF('2027'!$D$76="","",'2027'!$D$76)</f>
        <v/>
      </c>
      <c r="F72" s="51" t="str">
        <f>IF('2027'!$E$76="","",'2027'!$E$76)</f>
        <v/>
      </c>
      <c r="G72" s="51" t="str">
        <f>IF('2027'!$F$76="","",'2027'!$F$76)</f>
        <v/>
      </c>
      <c r="H72" s="57" t="str">
        <f>IF('2027'!$H$76="","",'2027'!$H$76)</f>
        <v/>
      </c>
      <c r="I72" s="58"/>
      <c r="J72" s="51" t="str">
        <f>IF('2027'!$I$76="","",'2027'!$I$76)</f>
        <v/>
      </c>
      <c r="K72" s="51" t="str">
        <f t="shared" si="2"/>
        <v/>
      </c>
      <c r="L72" s="51" t="str">
        <f>IF('2027'!$J$76="","",'2027'!$J$76)</f>
        <v/>
      </c>
      <c r="M72" s="60" t="str">
        <f>IF('2027'!$K$76="","",'2027'!$K$76)</f>
        <v/>
      </c>
      <c r="N72" s="60" t="str">
        <f>IF('2027'!$L$76="","",'2027'!$L$76)</f>
        <v/>
      </c>
      <c r="O72" s="58" t="str">
        <f t="shared" si="3"/>
        <v/>
      </c>
      <c r="P72" s="58"/>
      <c r="Q72" s="51" t="str">
        <f t="shared" si="4"/>
        <v/>
      </c>
      <c r="R72" s="51" t="str">
        <f t="shared" si="5"/>
        <v/>
      </c>
      <c r="S72" s="58" t="str">
        <f t="shared" si="6"/>
        <v/>
      </c>
      <c r="T72" s="51" t="str">
        <f t="shared" si="7"/>
        <v/>
      </c>
      <c r="U72" s="50" t="str">
        <f t="shared" si="8"/>
        <v/>
      </c>
      <c r="V72" s="58" t="str">
        <f>IF('2027'!$G$76="","",'2027'!$G$76)</f>
        <v/>
      </c>
      <c r="W72" s="58"/>
      <c r="X72" s="51" t="str">
        <f t="shared" si="9"/>
        <v/>
      </c>
      <c r="Y72" s="51" t="str">
        <f t="shared" si="10"/>
        <v/>
      </c>
      <c r="Z72" s="80" t="str">
        <f t="shared" si="11"/>
        <v/>
      </c>
      <c r="AA72" s="60"/>
      <c r="AB72" s="51" t="str">
        <f t="shared" si="12"/>
        <v/>
      </c>
      <c r="AC72" s="58" t="str">
        <f t="shared" si="13"/>
        <v/>
      </c>
      <c r="AD72" s="80" t="str">
        <f>IF('2027'!$M$76="","",'2027'!$M$76)</f>
        <v/>
      </c>
      <c r="AE72" s="49" t="str">
        <f>IF('2027'!$N$76="","",'2027'!$N$76)</f>
        <v/>
      </c>
      <c r="AF72" s="80">
        <f>IF('2027'!$O$76="","",'2027'!$O$76)</f>
        <v>0</v>
      </c>
      <c r="AG72" s="86"/>
      <c r="AH72" s="86"/>
      <c r="AI72" s="80" t="str">
        <f>IF('2027'!$Q$76="","",'2027'!$Q$76)</f>
        <v/>
      </c>
      <c r="AJ72" s="80" t="str">
        <f t="shared" si="14"/>
        <v/>
      </c>
      <c r="AK72" s="80" t="str">
        <f t="shared" si="15"/>
        <v/>
      </c>
      <c r="AL72" s="80">
        <f>IF('2027'!$R$76="","",'2027'!$R$76)</f>
        <v>0</v>
      </c>
      <c r="AM72" s="89">
        <f t="shared" ref="AM72:AN72" si="109">IFERROR(AI72-AJ72,0)</f>
        <v>0</v>
      </c>
      <c r="AN72" s="89">
        <f t="shared" si="109"/>
        <v>0</v>
      </c>
      <c r="AO72" s="91">
        <f>IF('2027'!$S$76="","",'2027'!$S$76)</f>
        <v>0</v>
      </c>
      <c r="AP72" s="92">
        <f t="shared" si="17"/>
        <v>0</v>
      </c>
      <c r="AQ72" s="86" t="str">
        <f t="shared" si="18"/>
        <v/>
      </c>
      <c r="AR72" s="80" t="str">
        <f>IF('2027'!$T$76="","",'2027'!$T$76)</f>
        <v/>
      </c>
      <c r="AS72" s="80">
        <f>IF('2027'!$U$76="","",'2027'!$U$76)</f>
        <v>0</v>
      </c>
      <c r="AT72" s="86" t="str">
        <f t="shared" si="19"/>
        <v/>
      </c>
      <c r="AU72" s="86"/>
      <c r="AV72" s="96" t="str">
        <f t="shared" si="20"/>
        <v/>
      </c>
      <c r="AW72" s="97" t="str">
        <f t="shared" si="21"/>
        <v/>
      </c>
      <c r="AX72" s="97" t="str">
        <f t="shared" si="22"/>
        <v/>
      </c>
      <c r="AY72" s="60" t="str">
        <f t="shared" si="23"/>
        <v/>
      </c>
      <c r="AZ72" s="97" t="str">
        <f t="shared" si="24"/>
        <v/>
      </c>
      <c r="BA72" s="49" t="str">
        <f t="shared" si="25"/>
        <v/>
      </c>
      <c r="BB72" s="80" t="str">
        <f t="shared" si="26"/>
        <v/>
      </c>
      <c r="BC72" s="80" t="str">
        <f t="shared" si="27"/>
        <v/>
      </c>
      <c r="BD72" s="89">
        <f t="shared" si="28"/>
        <v>0</v>
      </c>
      <c r="BE72" s="60" t="str">
        <f t="shared" si="29"/>
        <v/>
      </c>
      <c r="BF72" s="102" t="str">
        <f t="shared" si="30"/>
        <v/>
      </c>
      <c r="BG72" s="103">
        <f t="shared" si="31"/>
        <v>-46258</v>
      </c>
      <c r="BH72" s="104" t="str">
        <f t="shared" si="32"/>
        <v/>
      </c>
      <c r="BI72" s="104" t="str">
        <f t="shared" si="33"/>
        <v/>
      </c>
      <c r="BJ72" s="104" t="str">
        <f t="shared" si="34"/>
        <v/>
      </c>
      <c r="BK72" s="104" t="str">
        <f t="shared" si="35"/>
        <v/>
      </c>
      <c r="BL72" s="104" t="str">
        <f t="shared" si="36"/>
        <v/>
      </c>
      <c r="BM72" s="57" t="str">
        <f>IF('2027'!$V$76="","",'2027'!$V$76)</f>
        <v/>
      </c>
      <c r="BN72" s="80" t="str">
        <f t="shared" si="37"/>
        <v/>
      </c>
      <c r="BO72" s="80" t="str">
        <f t="shared" si="38"/>
        <v/>
      </c>
      <c r="BP72" s="80" t="str">
        <f t="shared" si="39"/>
        <v/>
      </c>
      <c r="BQ72" s="80" t="str">
        <f t="shared" si="40"/>
        <v/>
      </c>
      <c r="BR72" s="80" t="str">
        <f t="shared" si="41"/>
        <v/>
      </c>
      <c r="BS72" s="116" t="str">
        <f t="shared" si="42"/>
        <v/>
      </c>
    </row>
    <row r="73" ht="15.0" customHeight="1">
      <c r="A73" s="49" t="str">
        <f>IF('2027'!$E$77="","",'2027'!$E$77)</f>
        <v/>
      </c>
      <c r="B73" s="50"/>
      <c r="C73" s="51" t="str">
        <f>IF('2027'!$B$77="","",'2027'!$B$77)</f>
        <v/>
      </c>
      <c r="D73" s="51" t="str">
        <f>IF('2027'!$C$77="","",'2027'!$C$77)</f>
        <v/>
      </c>
      <c r="E73" s="51" t="str">
        <f>IF('2027'!$D$77="","",'2027'!$D$77)</f>
        <v/>
      </c>
      <c r="F73" s="51" t="str">
        <f>IF('2027'!$E$77="","",'2027'!$E$77)</f>
        <v/>
      </c>
      <c r="G73" s="51" t="str">
        <f>IF('2027'!$F$77="","",'2027'!$F$77)</f>
        <v/>
      </c>
      <c r="H73" s="57" t="str">
        <f>IF('2027'!$H$77="","",'2027'!$H$77)</f>
        <v/>
      </c>
      <c r="I73" s="58"/>
      <c r="J73" s="51" t="str">
        <f>IF('2027'!$I$77="","",'2027'!$I$77)</f>
        <v/>
      </c>
      <c r="K73" s="51" t="str">
        <f t="shared" si="2"/>
        <v/>
      </c>
      <c r="L73" s="51" t="str">
        <f>IF('2027'!$J$77="","",'2027'!$J$77)</f>
        <v/>
      </c>
      <c r="M73" s="60" t="str">
        <f>IF('2027'!$K$77="","",'2027'!$K$77)</f>
        <v/>
      </c>
      <c r="N73" s="60" t="str">
        <f>IF('2027'!$L$77="","",'2027'!$L$77)</f>
        <v/>
      </c>
      <c r="O73" s="58" t="str">
        <f t="shared" si="3"/>
        <v/>
      </c>
      <c r="P73" s="58"/>
      <c r="Q73" s="51" t="str">
        <f t="shared" si="4"/>
        <v/>
      </c>
      <c r="R73" s="51" t="str">
        <f t="shared" si="5"/>
        <v/>
      </c>
      <c r="S73" s="58" t="str">
        <f t="shared" si="6"/>
        <v/>
      </c>
      <c r="T73" s="51" t="str">
        <f t="shared" si="7"/>
        <v/>
      </c>
      <c r="U73" s="50" t="str">
        <f t="shared" si="8"/>
        <v/>
      </c>
      <c r="V73" s="58" t="str">
        <f>IF('2027'!$G$77="","",'2027'!$G$77)</f>
        <v/>
      </c>
      <c r="W73" s="58"/>
      <c r="X73" s="51" t="str">
        <f t="shared" si="9"/>
        <v/>
      </c>
      <c r="Y73" s="51" t="str">
        <f t="shared" si="10"/>
        <v/>
      </c>
      <c r="Z73" s="80" t="str">
        <f t="shared" si="11"/>
        <v/>
      </c>
      <c r="AA73" s="60"/>
      <c r="AB73" s="51" t="str">
        <f t="shared" si="12"/>
        <v/>
      </c>
      <c r="AC73" s="58" t="str">
        <f t="shared" si="13"/>
        <v/>
      </c>
      <c r="AD73" s="80" t="str">
        <f>IF('2027'!$M$77="","",'2027'!$M$77)</f>
        <v/>
      </c>
      <c r="AE73" s="49" t="str">
        <f>IF('2027'!$N$77="","",'2027'!$N$77)</f>
        <v/>
      </c>
      <c r="AF73" s="80">
        <f>IF('2027'!$O$77="","",'2027'!$O$77)</f>
        <v>0</v>
      </c>
      <c r="AG73" s="86"/>
      <c r="AH73" s="86"/>
      <c r="AI73" s="80" t="str">
        <f>IF('2027'!$Q$77="","",'2027'!$Q$77)</f>
        <v/>
      </c>
      <c r="AJ73" s="80" t="str">
        <f t="shared" si="14"/>
        <v/>
      </c>
      <c r="AK73" s="80" t="str">
        <f t="shared" si="15"/>
        <v/>
      </c>
      <c r="AL73" s="80">
        <f>IF('2027'!$R$77="","",'2027'!$R$77)</f>
        <v>0</v>
      </c>
      <c r="AM73" s="89">
        <f t="shared" ref="AM73:AN73" si="110">IFERROR(AI73-AJ73,0)</f>
        <v>0</v>
      </c>
      <c r="AN73" s="89">
        <f t="shared" si="110"/>
        <v>0</v>
      </c>
      <c r="AO73" s="91">
        <f>IF('2027'!$S$77="","",'2027'!$S$77)</f>
        <v>0</v>
      </c>
      <c r="AP73" s="92">
        <f t="shared" si="17"/>
        <v>0</v>
      </c>
      <c r="AQ73" s="86" t="str">
        <f t="shared" si="18"/>
        <v/>
      </c>
      <c r="AR73" s="80" t="str">
        <f>IF('2027'!$T$77="","",'2027'!$T$77)</f>
        <v/>
      </c>
      <c r="AS73" s="80">
        <f>IF('2027'!$U$77="","",'2027'!$U$77)</f>
        <v>0</v>
      </c>
      <c r="AT73" s="86" t="str">
        <f t="shared" si="19"/>
        <v/>
      </c>
      <c r="AU73" s="86"/>
      <c r="AV73" s="96" t="str">
        <f t="shared" si="20"/>
        <v/>
      </c>
      <c r="AW73" s="97" t="str">
        <f t="shared" si="21"/>
        <v/>
      </c>
      <c r="AX73" s="97" t="str">
        <f t="shared" si="22"/>
        <v/>
      </c>
      <c r="AY73" s="60" t="str">
        <f t="shared" si="23"/>
        <v/>
      </c>
      <c r="AZ73" s="97" t="str">
        <f t="shared" si="24"/>
        <v/>
      </c>
      <c r="BA73" s="49" t="str">
        <f t="shared" si="25"/>
        <v/>
      </c>
      <c r="BB73" s="80" t="str">
        <f t="shared" si="26"/>
        <v/>
      </c>
      <c r="BC73" s="80" t="str">
        <f t="shared" si="27"/>
        <v/>
      </c>
      <c r="BD73" s="89">
        <f t="shared" si="28"/>
        <v>0</v>
      </c>
      <c r="BE73" s="60" t="str">
        <f t="shared" si="29"/>
        <v/>
      </c>
      <c r="BF73" s="102" t="str">
        <f t="shared" si="30"/>
        <v/>
      </c>
      <c r="BG73" s="103">
        <f t="shared" si="31"/>
        <v>-46258</v>
      </c>
      <c r="BH73" s="104" t="str">
        <f t="shared" si="32"/>
        <v/>
      </c>
      <c r="BI73" s="104" t="str">
        <f t="shared" si="33"/>
        <v/>
      </c>
      <c r="BJ73" s="104" t="str">
        <f t="shared" si="34"/>
        <v/>
      </c>
      <c r="BK73" s="104" t="str">
        <f t="shared" si="35"/>
        <v/>
      </c>
      <c r="BL73" s="104" t="str">
        <f t="shared" si="36"/>
        <v/>
      </c>
      <c r="BM73" s="57" t="str">
        <f>IF('2027'!$V$77="","",'2027'!$V$77)</f>
        <v/>
      </c>
      <c r="BN73" s="80" t="str">
        <f t="shared" si="37"/>
        <v/>
      </c>
      <c r="BO73" s="80" t="str">
        <f t="shared" si="38"/>
        <v/>
      </c>
      <c r="BP73" s="80" t="str">
        <f t="shared" si="39"/>
        <v/>
      </c>
      <c r="BQ73" s="80" t="str">
        <f t="shared" si="40"/>
        <v/>
      </c>
      <c r="BR73" s="80" t="str">
        <f t="shared" si="41"/>
        <v/>
      </c>
      <c r="BS73" s="116" t="str">
        <f t="shared" si="42"/>
        <v/>
      </c>
    </row>
    <row r="74" ht="15.0" customHeight="1">
      <c r="A74" s="49" t="str">
        <f>IF('2027'!$E$78="","",'2027'!$E$78)</f>
        <v/>
      </c>
      <c r="B74" s="50"/>
      <c r="C74" s="51" t="str">
        <f>IF('2027'!$B$78="","",'2027'!$B$78)</f>
        <v/>
      </c>
      <c r="D74" s="51" t="str">
        <f>IF('2027'!$C$78="","",'2027'!$C$78)</f>
        <v/>
      </c>
      <c r="E74" s="51" t="str">
        <f>IF('2027'!$D$78="","",'2027'!$D$78)</f>
        <v/>
      </c>
      <c r="F74" s="51" t="str">
        <f>IF('2027'!$E$78="","",'2027'!$E$78)</f>
        <v/>
      </c>
      <c r="G74" s="51" t="str">
        <f>IF('2027'!$F$78="","",'2027'!$F$78)</f>
        <v/>
      </c>
      <c r="H74" s="57" t="str">
        <f>IF('2027'!$H$78="","",'2027'!$H$78)</f>
        <v/>
      </c>
      <c r="I74" s="58"/>
      <c r="J74" s="51" t="str">
        <f>IF('2027'!$I$78="","",'2027'!$I$78)</f>
        <v/>
      </c>
      <c r="K74" s="51" t="str">
        <f t="shared" si="2"/>
        <v/>
      </c>
      <c r="L74" s="51" t="str">
        <f>IF('2027'!$J$78="","",'2027'!$J$78)</f>
        <v/>
      </c>
      <c r="M74" s="60" t="str">
        <f>IF('2027'!$K$78="","",'2027'!$K$78)</f>
        <v/>
      </c>
      <c r="N74" s="60" t="str">
        <f>IF('2027'!$L$78="","",'2027'!$L$78)</f>
        <v/>
      </c>
      <c r="O74" s="58" t="str">
        <f t="shared" si="3"/>
        <v/>
      </c>
      <c r="P74" s="58"/>
      <c r="Q74" s="51" t="str">
        <f t="shared" si="4"/>
        <v/>
      </c>
      <c r="R74" s="51" t="str">
        <f t="shared" si="5"/>
        <v/>
      </c>
      <c r="S74" s="58" t="str">
        <f t="shared" si="6"/>
        <v/>
      </c>
      <c r="T74" s="51" t="str">
        <f t="shared" si="7"/>
        <v/>
      </c>
      <c r="U74" s="50" t="str">
        <f t="shared" si="8"/>
        <v/>
      </c>
      <c r="V74" s="58" t="str">
        <f>IF('2027'!$G$78="","",'2027'!$G$78)</f>
        <v/>
      </c>
      <c r="W74" s="58"/>
      <c r="X74" s="51" t="str">
        <f t="shared" si="9"/>
        <v/>
      </c>
      <c r="Y74" s="51" t="str">
        <f t="shared" si="10"/>
        <v/>
      </c>
      <c r="Z74" s="80" t="str">
        <f t="shared" si="11"/>
        <v/>
      </c>
      <c r="AA74" s="60"/>
      <c r="AB74" s="51" t="str">
        <f t="shared" si="12"/>
        <v/>
      </c>
      <c r="AC74" s="58" t="str">
        <f t="shared" si="13"/>
        <v/>
      </c>
      <c r="AD74" s="80" t="str">
        <f>IF('2027'!$M$78="","",'2027'!$M$78)</f>
        <v/>
      </c>
      <c r="AE74" s="49" t="str">
        <f>IF('2027'!$N$78="","",'2027'!$N$78)</f>
        <v/>
      </c>
      <c r="AF74" s="80">
        <f>IF('2027'!$O$78="","",'2027'!$O$78)</f>
        <v>0</v>
      </c>
      <c r="AG74" s="86"/>
      <c r="AH74" s="86"/>
      <c r="AI74" s="80" t="str">
        <f>IF('2027'!$Q$78="","",'2027'!$Q$78)</f>
        <v/>
      </c>
      <c r="AJ74" s="80" t="str">
        <f t="shared" si="14"/>
        <v/>
      </c>
      <c r="AK74" s="80" t="str">
        <f t="shared" si="15"/>
        <v/>
      </c>
      <c r="AL74" s="80">
        <f>IF('2027'!$R$78="","",'2027'!$R$78)</f>
        <v>0</v>
      </c>
      <c r="AM74" s="89">
        <f t="shared" ref="AM74:AN74" si="111">IFERROR(AI74-AJ74,0)</f>
        <v>0</v>
      </c>
      <c r="AN74" s="89">
        <f t="shared" si="111"/>
        <v>0</v>
      </c>
      <c r="AO74" s="91">
        <f>IF('2027'!$S$78="","",'2027'!$S$78)</f>
        <v>0</v>
      </c>
      <c r="AP74" s="92">
        <f t="shared" si="17"/>
        <v>0</v>
      </c>
      <c r="AQ74" s="86" t="str">
        <f t="shared" si="18"/>
        <v/>
      </c>
      <c r="AR74" s="80" t="str">
        <f>IF('2027'!$T$78="","",'2027'!$T$78)</f>
        <v/>
      </c>
      <c r="AS74" s="80">
        <f>IF('2027'!$U$78="","",'2027'!$U$78)</f>
        <v>0</v>
      </c>
      <c r="AT74" s="86" t="str">
        <f t="shared" si="19"/>
        <v/>
      </c>
      <c r="AU74" s="86"/>
      <c r="AV74" s="96" t="str">
        <f t="shared" si="20"/>
        <v/>
      </c>
      <c r="AW74" s="97" t="str">
        <f t="shared" si="21"/>
        <v/>
      </c>
      <c r="AX74" s="97" t="str">
        <f t="shared" si="22"/>
        <v/>
      </c>
      <c r="AY74" s="60" t="str">
        <f t="shared" si="23"/>
        <v/>
      </c>
      <c r="AZ74" s="97" t="str">
        <f t="shared" si="24"/>
        <v/>
      </c>
      <c r="BA74" s="49" t="str">
        <f t="shared" si="25"/>
        <v/>
      </c>
      <c r="BB74" s="80" t="str">
        <f t="shared" si="26"/>
        <v/>
      </c>
      <c r="BC74" s="80" t="str">
        <f t="shared" si="27"/>
        <v/>
      </c>
      <c r="BD74" s="89">
        <f t="shared" si="28"/>
        <v>0</v>
      </c>
      <c r="BE74" s="60" t="str">
        <f t="shared" si="29"/>
        <v/>
      </c>
      <c r="BF74" s="102" t="str">
        <f t="shared" si="30"/>
        <v/>
      </c>
      <c r="BG74" s="103">
        <f t="shared" si="31"/>
        <v>-46258</v>
      </c>
      <c r="BH74" s="104" t="str">
        <f t="shared" si="32"/>
        <v/>
      </c>
      <c r="BI74" s="104" t="str">
        <f t="shared" si="33"/>
        <v/>
      </c>
      <c r="BJ74" s="104" t="str">
        <f t="shared" si="34"/>
        <v/>
      </c>
      <c r="BK74" s="104" t="str">
        <f t="shared" si="35"/>
        <v/>
      </c>
      <c r="BL74" s="104" t="str">
        <f t="shared" si="36"/>
        <v/>
      </c>
      <c r="BM74" s="57" t="str">
        <f>IF('2027'!$V$78="","",'2027'!$V$78)</f>
        <v/>
      </c>
      <c r="BN74" s="80" t="str">
        <f t="shared" si="37"/>
        <v/>
      </c>
      <c r="BO74" s="80" t="str">
        <f t="shared" si="38"/>
        <v/>
      </c>
      <c r="BP74" s="80" t="str">
        <f t="shared" si="39"/>
        <v/>
      </c>
      <c r="BQ74" s="80" t="str">
        <f t="shared" si="40"/>
        <v/>
      </c>
      <c r="BR74" s="80" t="str">
        <f t="shared" si="41"/>
        <v/>
      </c>
      <c r="BS74" s="116" t="str">
        <f t="shared" si="42"/>
        <v/>
      </c>
    </row>
    <row r="75" ht="15.0" customHeight="1">
      <c r="A75" s="49" t="str">
        <f>IF('2027'!$E$79="","",'2027'!$E$79)</f>
        <v/>
      </c>
      <c r="B75" s="50"/>
      <c r="C75" s="51" t="str">
        <f>IF('2027'!$B$79="","",'2027'!$B$79)</f>
        <v/>
      </c>
      <c r="D75" s="51" t="str">
        <f>IF('2027'!$C$79="","",'2027'!$C$79)</f>
        <v/>
      </c>
      <c r="E75" s="51" t="str">
        <f>IF('2027'!$D$79="","",'2027'!$D$79)</f>
        <v/>
      </c>
      <c r="F75" s="51" t="str">
        <f>IF('2027'!$E$79="","",'2027'!$E$79)</f>
        <v/>
      </c>
      <c r="G75" s="51" t="str">
        <f>IF('2027'!$F$79="","",'2027'!$F$79)</f>
        <v/>
      </c>
      <c r="H75" s="57" t="str">
        <f>IF('2027'!$H$79="","",'2027'!$H$79)</f>
        <v/>
      </c>
      <c r="I75" s="58"/>
      <c r="J75" s="51" t="str">
        <f>IF('2027'!$I$79="","",'2027'!$I$79)</f>
        <v/>
      </c>
      <c r="K75" s="51" t="str">
        <f t="shared" si="2"/>
        <v/>
      </c>
      <c r="L75" s="51" t="str">
        <f>IF('2027'!$J$79="","",'2027'!$J$79)</f>
        <v/>
      </c>
      <c r="M75" s="60" t="str">
        <f>IF('2027'!$K$79="","",'2027'!$K$79)</f>
        <v/>
      </c>
      <c r="N75" s="60" t="str">
        <f>IF('2027'!$L$79="","",'2027'!$L$79)</f>
        <v/>
      </c>
      <c r="O75" s="58" t="str">
        <f t="shared" si="3"/>
        <v/>
      </c>
      <c r="P75" s="58"/>
      <c r="Q75" s="51" t="str">
        <f t="shared" si="4"/>
        <v/>
      </c>
      <c r="R75" s="51" t="str">
        <f t="shared" si="5"/>
        <v/>
      </c>
      <c r="S75" s="58" t="str">
        <f t="shared" si="6"/>
        <v/>
      </c>
      <c r="T75" s="51" t="str">
        <f t="shared" si="7"/>
        <v/>
      </c>
      <c r="U75" s="50" t="str">
        <f t="shared" si="8"/>
        <v/>
      </c>
      <c r="V75" s="58" t="str">
        <f>IF('2027'!$G$79="","",'2027'!$G$79)</f>
        <v/>
      </c>
      <c r="W75" s="58"/>
      <c r="X75" s="51" t="str">
        <f t="shared" si="9"/>
        <v/>
      </c>
      <c r="Y75" s="51" t="str">
        <f t="shared" si="10"/>
        <v/>
      </c>
      <c r="Z75" s="80" t="str">
        <f t="shared" si="11"/>
        <v/>
      </c>
      <c r="AA75" s="60"/>
      <c r="AB75" s="51" t="str">
        <f t="shared" si="12"/>
        <v/>
      </c>
      <c r="AC75" s="58" t="str">
        <f t="shared" si="13"/>
        <v/>
      </c>
      <c r="AD75" s="80" t="str">
        <f>IF('2027'!$M$79="","",'2027'!$M$79)</f>
        <v/>
      </c>
      <c r="AE75" s="49" t="str">
        <f>IF('2027'!$N$79="","",'2027'!$N$79)</f>
        <v/>
      </c>
      <c r="AF75" s="80">
        <f>IF('2027'!$O$79="","",'2027'!$O$79)</f>
        <v>0</v>
      </c>
      <c r="AG75" s="86"/>
      <c r="AH75" s="86"/>
      <c r="AI75" s="80" t="str">
        <f>IF('2027'!$Q$79="","",'2027'!$Q$79)</f>
        <v/>
      </c>
      <c r="AJ75" s="80" t="str">
        <f t="shared" si="14"/>
        <v/>
      </c>
      <c r="AK75" s="80" t="str">
        <f t="shared" si="15"/>
        <v/>
      </c>
      <c r="AL75" s="80">
        <f>IF('2027'!$R$79="","",'2027'!$R$79)</f>
        <v>0</v>
      </c>
      <c r="AM75" s="89">
        <f t="shared" ref="AM75:AN75" si="112">IFERROR(AI75-AJ75,0)</f>
        <v>0</v>
      </c>
      <c r="AN75" s="89">
        <f t="shared" si="112"/>
        <v>0</v>
      </c>
      <c r="AO75" s="91">
        <f>IF('2027'!$S$79="","",'2027'!$S$79)</f>
        <v>0</v>
      </c>
      <c r="AP75" s="92">
        <f t="shared" si="17"/>
        <v>0</v>
      </c>
      <c r="AQ75" s="86" t="str">
        <f t="shared" si="18"/>
        <v/>
      </c>
      <c r="AR75" s="80" t="str">
        <f>IF('2027'!$T$79="","",'2027'!$T$79)</f>
        <v/>
      </c>
      <c r="AS75" s="80">
        <f>IF('2027'!$U$79="","",'2027'!$U$79)</f>
        <v>0</v>
      </c>
      <c r="AT75" s="86" t="str">
        <f t="shared" si="19"/>
        <v/>
      </c>
      <c r="AU75" s="86"/>
      <c r="AV75" s="96" t="str">
        <f t="shared" si="20"/>
        <v/>
      </c>
      <c r="AW75" s="97" t="str">
        <f t="shared" si="21"/>
        <v/>
      </c>
      <c r="AX75" s="97" t="str">
        <f t="shared" si="22"/>
        <v/>
      </c>
      <c r="AY75" s="60" t="str">
        <f t="shared" si="23"/>
        <v/>
      </c>
      <c r="AZ75" s="97" t="str">
        <f t="shared" si="24"/>
        <v/>
      </c>
      <c r="BA75" s="49" t="str">
        <f t="shared" si="25"/>
        <v/>
      </c>
      <c r="BB75" s="80" t="str">
        <f t="shared" si="26"/>
        <v/>
      </c>
      <c r="BC75" s="80" t="str">
        <f t="shared" si="27"/>
        <v/>
      </c>
      <c r="BD75" s="89">
        <f t="shared" si="28"/>
        <v>0</v>
      </c>
      <c r="BE75" s="60" t="str">
        <f t="shared" si="29"/>
        <v/>
      </c>
      <c r="BF75" s="102" t="str">
        <f t="shared" si="30"/>
        <v/>
      </c>
      <c r="BG75" s="103">
        <f t="shared" si="31"/>
        <v>-46258</v>
      </c>
      <c r="BH75" s="104" t="str">
        <f t="shared" si="32"/>
        <v/>
      </c>
      <c r="BI75" s="104" t="str">
        <f t="shared" si="33"/>
        <v/>
      </c>
      <c r="BJ75" s="104" t="str">
        <f t="shared" si="34"/>
        <v/>
      </c>
      <c r="BK75" s="104" t="str">
        <f t="shared" si="35"/>
        <v/>
      </c>
      <c r="BL75" s="104" t="str">
        <f t="shared" si="36"/>
        <v/>
      </c>
      <c r="BM75" s="57" t="str">
        <f>IF('2027'!$V$79="","",'2027'!$V$79)</f>
        <v/>
      </c>
      <c r="BN75" s="80" t="str">
        <f t="shared" si="37"/>
        <v/>
      </c>
      <c r="BO75" s="80" t="str">
        <f t="shared" si="38"/>
        <v/>
      </c>
      <c r="BP75" s="80" t="str">
        <f t="shared" si="39"/>
        <v/>
      </c>
      <c r="BQ75" s="80" t="str">
        <f t="shared" si="40"/>
        <v/>
      </c>
      <c r="BR75" s="80" t="str">
        <f t="shared" si="41"/>
        <v/>
      </c>
      <c r="BS75" s="116" t="str">
        <f t="shared" si="42"/>
        <v/>
      </c>
    </row>
    <row r="76" ht="15.0" customHeight="1">
      <c r="A76" s="49" t="str">
        <f>IF('2027'!$E$80="","",'2027'!$E$80)</f>
        <v/>
      </c>
      <c r="B76" s="50"/>
      <c r="C76" s="51" t="str">
        <f>IF('2027'!$B$80="","",'2027'!$B$80)</f>
        <v/>
      </c>
      <c r="D76" s="51" t="str">
        <f>IF('2027'!$C$80="","",'2027'!$C$80)</f>
        <v/>
      </c>
      <c r="E76" s="51" t="str">
        <f>IF('2027'!$D$80="","",'2027'!$D$80)</f>
        <v/>
      </c>
      <c r="F76" s="51" t="str">
        <f>IF('2027'!$E$80="","",'2027'!$E$80)</f>
        <v/>
      </c>
      <c r="G76" s="51" t="str">
        <f>IF('2027'!$F$80="","",'2027'!$F$80)</f>
        <v/>
      </c>
      <c r="H76" s="57" t="str">
        <f>IF('2027'!$H$80="","",'2027'!$H$80)</f>
        <v/>
      </c>
      <c r="I76" s="58"/>
      <c r="J76" s="51" t="str">
        <f>IF('2027'!$I$80="","",'2027'!$I$80)</f>
        <v/>
      </c>
      <c r="K76" s="51" t="str">
        <f t="shared" si="2"/>
        <v/>
      </c>
      <c r="L76" s="51" t="str">
        <f>IF('2027'!$J$80="","",'2027'!$J$80)</f>
        <v/>
      </c>
      <c r="M76" s="60" t="str">
        <f>IF('2027'!$K$80="","",'2027'!$K$80)</f>
        <v/>
      </c>
      <c r="N76" s="60" t="str">
        <f>IF('2027'!$L$80="","",'2027'!$L$80)</f>
        <v/>
      </c>
      <c r="O76" s="58" t="str">
        <f t="shared" si="3"/>
        <v/>
      </c>
      <c r="P76" s="58"/>
      <c r="Q76" s="51" t="str">
        <f t="shared" si="4"/>
        <v/>
      </c>
      <c r="R76" s="51" t="str">
        <f t="shared" si="5"/>
        <v/>
      </c>
      <c r="S76" s="58" t="str">
        <f t="shared" si="6"/>
        <v/>
      </c>
      <c r="T76" s="51" t="str">
        <f t="shared" si="7"/>
        <v/>
      </c>
      <c r="U76" s="50" t="str">
        <f t="shared" si="8"/>
        <v/>
      </c>
      <c r="V76" s="58" t="str">
        <f>IF('2027'!$G$80="","",'2027'!$G$80)</f>
        <v/>
      </c>
      <c r="W76" s="58"/>
      <c r="X76" s="51" t="str">
        <f t="shared" si="9"/>
        <v/>
      </c>
      <c r="Y76" s="51" t="str">
        <f t="shared" si="10"/>
        <v/>
      </c>
      <c r="Z76" s="80" t="str">
        <f t="shared" si="11"/>
        <v/>
      </c>
      <c r="AA76" s="60"/>
      <c r="AB76" s="51" t="str">
        <f t="shared" si="12"/>
        <v/>
      </c>
      <c r="AC76" s="58" t="str">
        <f t="shared" si="13"/>
        <v/>
      </c>
      <c r="AD76" s="80" t="str">
        <f>IF('2027'!$M$80="","",'2027'!$M$80)</f>
        <v/>
      </c>
      <c r="AE76" s="49" t="str">
        <f>IF('2027'!$N$80="","",'2027'!$N$80)</f>
        <v/>
      </c>
      <c r="AF76" s="80">
        <f>IF('2027'!$O$80="","",'2027'!$O$80)</f>
        <v>0</v>
      </c>
      <c r="AG76" s="86"/>
      <c r="AH76" s="86"/>
      <c r="AI76" s="80" t="str">
        <f>IF('2027'!$Q$80="","",'2027'!$Q$80)</f>
        <v/>
      </c>
      <c r="AJ76" s="80" t="str">
        <f t="shared" si="14"/>
        <v/>
      </c>
      <c r="AK76" s="80" t="str">
        <f t="shared" si="15"/>
        <v/>
      </c>
      <c r="AL76" s="80">
        <f>IF('2027'!$R$80="","",'2027'!$R$80)</f>
        <v>0</v>
      </c>
      <c r="AM76" s="89">
        <f t="shared" ref="AM76:AN76" si="113">IFERROR(AI76-AJ76,0)</f>
        <v>0</v>
      </c>
      <c r="AN76" s="89">
        <f t="shared" si="113"/>
        <v>0</v>
      </c>
      <c r="AO76" s="91">
        <f>IF('2027'!$S$80="","",'2027'!$S$80)</f>
        <v>0</v>
      </c>
      <c r="AP76" s="92">
        <f t="shared" si="17"/>
        <v>0</v>
      </c>
      <c r="AQ76" s="86" t="str">
        <f t="shared" si="18"/>
        <v/>
      </c>
      <c r="AR76" s="80" t="str">
        <f>IF('2027'!$T$80="","",'2027'!$T$80)</f>
        <v/>
      </c>
      <c r="AS76" s="80">
        <f>IF('2027'!$U$80="","",'2027'!$U$80)</f>
        <v>0</v>
      </c>
      <c r="AT76" s="86" t="str">
        <f t="shared" si="19"/>
        <v/>
      </c>
      <c r="AU76" s="86"/>
      <c r="AV76" s="96" t="str">
        <f t="shared" si="20"/>
        <v/>
      </c>
      <c r="AW76" s="97" t="str">
        <f t="shared" si="21"/>
        <v/>
      </c>
      <c r="AX76" s="97" t="str">
        <f t="shared" si="22"/>
        <v/>
      </c>
      <c r="AY76" s="60" t="str">
        <f t="shared" si="23"/>
        <v/>
      </c>
      <c r="AZ76" s="97" t="str">
        <f t="shared" si="24"/>
        <v/>
      </c>
      <c r="BA76" s="49" t="str">
        <f t="shared" si="25"/>
        <v/>
      </c>
      <c r="BB76" s="80" t="str">
        <f t="shared" si="26"/>
        <v/>
      </c>
      <c r="BC76" s="80" t="str">
        <f t="shared" si="27"/>
        <v/>
      </c>
      <c r="BD76" s="89">
        <f t="shared" si="28"/>
        <v>0</v>
      </c>
      <c r="BE76" s="60" t="str">
        <f t="shared" si="29"/>
        <v/>
      </c>
      <c r="BF76" s="102" t="str">
        <f t="shared" si="30"/>
        <v/>
      </c>
      <c r="BG76" s="103">
        <f t="shared" si="31"/>
        <v>-46258</v>
      </c>
      <c r="BH76" s="104" t="str">
        <f t="shared" si="32"/>
        <v/>
      </c>
      <c r="BI76" s="104" t="str">
        <f t="shared" si="33"/>
        <v/>
      </c>
      <c r="BJ76" s="104" t="str">
        <f t="shared" si="34"/>
        <v/>
      </c>
      <c r="BK76" s="104" t="str">
        <f t="shared" si="35"/>
        <v/>
      </c>
      <c r="BL76" s="104" t="str">
        <f t="shared" si="36"/>
        <v/>
      </c>
      <c r="BM76" s="57" t="str">
        <f>IF('2027'!$V$80="","",'2027'!$V$80)</f>
        <v/>
      </c>
      <c r="BN76" s="80" t="str">
        <f t="shared" si="37"/>
        <v/>
      </c>
      <c r="BO76" s="80" t="str">
        <f t="shared" si="38"/>
        <v/>
      </c>
      <c r="BP76" s="80" t="str">
        <f t="shared" si="39"/>
        <v/>
      </c>
      <c r="BQ76" s="80" t="str">
        <f t="shared" si="40"/>
        <v/>
      </c>
      <c r="BR76" s="80" t="str">
        <f t="shared" si="41"/>
        <v/>
      </c>
      <c r="BS76" s="116" t="str">
        <f t="shared" si="42"/>
        <v/>
      </c>
    </row>
    <row r="77" ht="15.0" customHeight="1">
      <c r="A77" s="49" t="str">
        <f>IF('2027'!$E$81="","",'2027'!$E$81)</f>
        <v/>
      </c>
      <c r="B77" s="50"/>
      <c r="C77" s="51" t="str">
        <f>IF('2027'!$B$81="","",'2027'!$B$81)</f>
        <v/>
      </c>
      <c r="D77" s="51" t="str">
        <f>IF('2027'!$C$81="","",'2027'!$C$81)</f>
        <v/>
      </c>
      <c r="E77" s="51" t="str">
        <f>IF('2027'!$D$81="","",'2027'!$D$81)</f>
        <v/>
      </c>
      <c r="F77" s="51" t="str">
        <f>IF('2027'!$E$81="","",'2027'!$E$81)</f>
        <v/>
      </c>
      <c r="G77" s="51" t="str">
        <f>IF('2027'!$F$81="","",'2027'!$F$81)</f>
        <v/>
      </c>
      <c r="H77" s="57" t="str">
        <f>IF('2027'!$H$81="","",'2027'!$H$81)</f>
        <v/>
      </c>
      <c r="I77" s="58"/>
      <c r="J77" s="51" t="str">
        <f>IF('2027'!$I$81="","",'2027'!$I$81)</f>
        <v/>
      </c>
      <c r="K77" s="51" t="str">
        <f t="shared" si="2"/>
        <v/>
      </c>
      <c r="L77" s="51" t="str">
        <f>IF('2027'!$J$81="","",'2027'!$J$81)</f>
        <v/>
      </c>
      <c r="M77" s="60" t="str">
        <f>IF('2027'!$K$81="","",'2027'!$K$81)</f>
        <v/>
      </c>
      <c r="N77" s="60" t="str">
        <f>IF('2027'!$L$81="","",'2027'!$L$81)</f>
        <v/>
      </c>
      <c r="O77" s="58" t="str">
        <f t="shared" si="3"/>
        <v/>
      </c>
      <c r="P77" s="58"/>
      <c r="Q77" s="51" t="str">
        <f t="shared" si="4"/>
        <v/>
      </c>
      <c r="R77" s="51" t="str">
        <f t="shared" si="5"/>
        <v/>
      </c>
      <c r="S77" s="58" t="str">
        <f t="shared" si="6"/>
        <v/>
      </c>
      <c r="T77" s="51" t="str">
        <f t="shared" si="7"/>
        <v/>
      </c>
      <c r="U77" s="50" t="str">
        <f t="shared" si="8"/>
        <v/>
      </c>
      <c r="V77" s="58" t="str">
        <f>IF('2027'!$G$81="","",'2027'!$G$81)</f>
        <v/>
      </c>
      <c r="W77" s="58"/>
      <c r="X77" s="51" t="str">
        <f t="shared" si="9"/>
        <v/>
      </c>
      <c r="Y77" s="51" t="str">
        <f t="shared" si="10"/>
        <v/>
      </c>
      <c r="Z77" s="80" t="str">
        <f t="shared" si="11"/>
        <v/>
      </c>
      <c r="AA77" s="60"/>
      <c r="AB77" s="51" t="str">
        <f t="shared" si="12"/>
        <v/>
      </c>
      <c r="AC77" s="58" t="str">
        <f t="shared" si="13"/>
        <v/>
      </c>
      <c r="AD77" s="80" t="str">
        <f>IF('2027'!$M$81="","",'2027'!$M$81)</f>
        <v/>
      </c>
      <c r="AE77" s="49" t="str">
        <f>IF('2027'!$N$81="","",'2027'!$N$81)</f>
        <v/>
      </c>
      <c r="AF77" s="80">
        <f>IF('2027'!$O$81="","",'2027'!$O$81)</f>
        <v>0</v>
      </c>
      <c r="AG77" s="86"/>
      <c r="AH77" s="86"/>
      <c r="AI77" s="80" t="str">
        <f>IF('2027'!$Q$81="","",'2027'!$Q$81)</f>
        <v/>
      </c>
      <c r="AJ77" s="80" t="str">
        <f t="shared" si="14"/>
        <v/>
      </c>
      <c r="AK77" s="80" t="str">
        <f t="shared" si="15"/>
        <v/>
      </c>
      <c r="AL77" s="80">
        <f>IF('2027'!$R$81="","",'2027'!$R$81)</f>
        <v>0</v>
      </c>
      <c r="AM77" s="89">
        <f t="shared" ref="AM77:AN77" si="114">IFERROR(AI77-AJ77,0)</f>
        <v>0</v>
      </c>
      <c r="AN77" s="89">
        <f t="shared" si="114"/>
        <v>0</v>
      </c>
      <c r="AO77" s="91">
        <f>IF('2027'!$S$81="","",'2027'!$S$81)</f>
        <v>0</v>
      </c>
      <c r="AP77" s="92">
        <f t="shared" si="17"/>
        <v>0</v>
      </c>
      <c r="AQ77" s="86" t="str">
        <f t="shared" si="18"/>
        <v/>
      </c>
      <c r="AR77" s="80" t="str">
        <f>IF('2027'!$T$81="","",'2027'!$T$81)</f>
        <v/>
      </c>
      <c r="AS77" s="80">
        <f>IF('2027'!$U$81="","",'2027'!$U$81)</f>
        <v>0</v>
      </c>
      <c r="AT77" s="86" t="str">
        <f t="shared" si="19"/>
        <v/>
      </c>
      <c r="AU77" s="86"/>
      <c r="AV77" s="96" t="str">
        <f t="shared" si="20"/>
        <v/>
      </c>
      <c r="AW77" s="97" t="str">
        <f t="shared" si="21"/>
        <v/>
      </c>
      <c r="AX77" s="97" t="str">
        <f t="shared" si="22"/>
        <v/>
      </c>
      <c r="AY77" s="60" t="str">
        <f t="shared" si="23"/>
        <v/>
      </c>
      <c r="AZ77" s="97" t="str">
        <f t="shared" si="24"/>
        <v/>
      </c>
      <c r="BA77" s="49" t="str">
        <f t="shared" si="25"/>
        <v/>
      </c>
      <c r="BB77" s="80" t="str">
        <f t="shared" si="26"/>
        <v/>
      </c>
      <c r="BC77" s="80" t="str">
        <f t="shared" si="27"/>
        <v/>
      </c>
      <c r="BD77" s="89">
        <f t="shared" si="28"/>
        <v>0</v>
      </c>
      <c r="BE77" s="60" t="str">
        <f t="shared" si="29"/>
        <v/>
      </c>
      <c r="BF77" s="102" t="str">
        <f t="shared" si="30"/>
        <v/>
      </c>
      <c r="BG77" s="103">
        <f t="shared" si="31"/>
        <v>-46258</v>
      </c>
      <c r="BH77" s="104" t="str">
        <f t="shared" si="32"/>
        <v/>
      </c>
      <c r="BI77" s="104" t="str">
        <f t="shared" si="33"/>
        <v/>
      </c>
      <c r="BJ77" s="104" t="str">
        <f t="shared" si="34"/>
        <v/>
      </c>
      <c r="BK77" s="104" t="str">
        <f t="shared" si="35"/>
        <v/>
      </c>
      <c r="BL77" s="104" t="str">
        <f t="shared" si="36"/>
        <v/>
      </c>
      <c r="BM77" s="57" t="str">
        <f>IF('2027'!$V$81="","",'2027'!$V$81)</f>
        <v/>
      </c>
      <c r="BN77" s="80" t="str">
        <f t="shared" si="37"/>
        <v/>
      </c>
      <c r="BO77" s="80" t="str">
        <f t="shared" si="38"/>
        <v/>
      </c>
      <c r="BP77" s="80" t="str">
        <f t="shared" si="39"/>
        <v/>
      </c>
      <c r="BQ77" s="80" t="str">
        <f t="shared" si="40"/>
        <v/>
      </c>
      <c r="BR77" s="80" t="str">
        <f t="shared" si="41"/>
        <v/>
      </c>
      <c r="BS77" s="116" t="str">
        <f t="shared" si="42"/>
        <v/>
      </c>
    </row>
    <row r="78" ht="15.0" customHeight="1">
      <c r="A78" s="49" t="str">
        <f>IF('2027'!$E$82="","",'2027'!$E$82)</f>
        <v/>
      </c>
      <c r="B78" s="50"/>
      <c r="C78" s="51" t="str">
        <f>IF('2027'!$B$82="","",'2027'!$B$82)</f>
        <v/>
      </c>
      <c r="D78" s="51" t="str">
        <f>IF('2027'!$C$82="","",'2027'!$C$82)</f>
        <v/>
      </c>
      <c r="E78" s="51" t="str">
        <f>IF('2027'!$D$82="","",'2027'!$D$82)</f>
        <v/>
      </c>
      <c r="F78" s="51" t="str">
        <f>IF('2027'!$E$82="","",'2027'!$E$82)</f>
        <v/>
      </c>
      <c r="G78" s="51" t="str">
        <f>IF('2027'!$F$82="","",'2027'!$F$82)</f>
        <v/>
      </c>
      <c r="H78" s="57" t="str">
        <f>IF('2027'!$H$82="","",'2027'!$H$82)</f>
        <v/>
      </c>
      <c r="I78" s="58"/>
      <c r="J78" s="51" t="str">
        <f>IF('2027'!$I$82="","",'2027'!$I$82)</f>
        <v/>
      </c>
      <c r="K78" s="51" t="str">
        <f t="shared" si="2"/>
        <v/>
      </c>
      <c r="L78" s="51" t="str">
        <f>IF('2027'!$J$82="","",'2027'!$J$82)</f>
        <v/>
      </c>
      <c r="M78" s="60" t="str">
        <f>IF('2027'!$K$82="","",'2027'!$K$82)</f>
        <v/>
      </c>
      <c r="N78" s="60" t="str">
        <f>IF('2027'!$L$82="","",'2027'!$L$82)</f>
        <v/>
      </c>
      <c r="O78" s="58" t="str">
        <f t="shared" si="3"/>
        <v/>
      </c>
      <c r="P78" s="58"/>
      <c r="Q78" s="51" t="str">
        <f t="shared" si="4"/>
        <v/>
      </c>
      <c r="R78" s="51" t="str">
        <f t="shared" si="5"/>
        <v/>
      </c>
      <c r="S78" s="58" t="str">
        <f t="shared" si="6"/>
        <v/>
      </c>
      <c r="T78" s="51" t="str">
        <f t="shared" si="7"/>
        <v/>
      </c>
      <c r="U78" s="50" t="str">
        <f t="shared" si="8"/>
        <v/>
      </c>
      <c r="V78" s="58" t="str">
        <f>IF('2027'!$G$82="","",'2027'!$G$82)</f>
        <v/>
      </c>
      <c r="W78" s="58"/>
      <c r="X78" s="51" t="str">
        <f t="shared" si="9"/>
        <v/>
      </c>
      <c r="Y78" s="51" t="str">
        <f t="shared" si="10"/>
        <v/>
      </c>
      <c r="Z78" s="80" t="str">
        <f t="shared" si="11"/>
        <v/>
      </c>
      <c r="AA78" s="60"/>
      <c r="AB78" s="51" t="str">
        <f t="shared" si="12"/>
        <v/>
      </c>
      <c r="AC78" s="58" t="str">
        <f t="shared" si="13"/>
        <v/>
      </c>
      <c r="AD78" s="80" t="str">
        <f>IF('2027'!$M$82="","",'2027'!$M$82)</f>
        <v/>
      </c>
      <c r="AE78" s="49" t="str">
        <f>IF('2027'!$N$82="","",'2027'!$N$82)</f>
        <v/>
      </c>
      <c r="AF78" s="80">
        <f>IF('2027'!$O$82="","",'2027'!$O$82)</f>
        <v>0</v>
      </c>
      <c r="AG78" s="86"/>
      <c r="AH78" s="86"/>
      <c r="AI78" s="80" t="str">
        <f>IF('2027'!$Q$82="","",'2027'!$Q$82)</f>
        <v/>
      </c>
      <c r="AJ78" s="80" t="str">
        <f t="shared" si="14"/>
        <v/>
      </c>
      <c r="AK78" s="80" t="str">
        <f t="shared" si="15"/>
        <v/>
      </c>
      <c r="AL78" s="80">
        <f>IF('2027'!$R$82="","",'2027'!$R$82)</f>
        <v>0</v>
      </c>
      <c r="AM78" s="89">
        <f t="shared" ref="AM78:AN78" si="115">IFERROR(AI78-AJ78,0)</f>
        <v>0</v>
      </c>
      <c r="AN78" s="89">
        <f t="shared" si="115"/>
        <v>0</v>
      </c>
      <c r="AO78" s="91">
        <f>IF('2027'!$S$82="","",'2027'!$S$82)</f>
        <v>0</v>
      </c>
      <c r="AP78" s="92">
        <f t="shared" si="17"/>
        <v>0</v>
      </c>
      <c r="AQ78" s="86" t="str">
        <f t="shared" si="18"/>
        <v/>
      </c>
      <c r="AR78" s="80" t="str">
        <f>IF('2027'!$T$82="","",'2027'!$T$82)</f>
        <v/>
      </c>
      <c r="AS78" s="80">
        <f>IF('2027'!$U$82="","",'2027'!$U$82)</f>
        <v>0</v>
      </c>
      <c r="AT78" s="86" t="str">
        <f t="shared" si="19"/>
        <v/>
      </c>
      <c r="AU78" s="86"/>
      <c r="AV78" s="96" t="str">
        <f t="shared" si="20"/>
        <v/>
      </c>
      <c r="AW78" s="97" t="str">
        <f t="shared" si="21"/>
        <v/>
      </c>
      <c r="AX78" s="97" t="str">
        <f t="shared" si="22"/>
        <v/>
      </c>
      <c r="AY78" s="60" t="str">
        <f t="shared" si="23"/>
        <v/>
      </c>
      <c r="AZ78" s="97" t="str">
        <f t="shared" si="24"/>
        <v/>
      </c>
      <c r="BA78" s="49" t="str">
        <f t="shared" si="25"/>
        <v/>
      </c>
      <c r="BB78" s="80" t="str">
        <f t="shared" si="26"/>
        <v/>
      </c>
      <c r="BC78" s="80" t="str">
        <f t="shared" si="27"/>
        <v/>
      </c>
      <c r="BD78" s="89">
        <f t="shared" si="28"/>
        <v>0</v>
      </c>
      <c r="BE78" s="60" t="str">
        <f t="shared" si="29"/>
        <v/>
      </c>
      <c r="BF78" s="102" t="str">
        <f t="shared" si="30"/>
        <v/>
      </c>
      <c r="BG78" s="103">
        <f t="shared" si="31"/>
        <v>-46258</v>
      </c>
      <c r="BH78" s="104" t="str">
        <f t="shared" si="32"/>
        <v/>
      </c>
      <c r="BI78" s="104" t="str">
        <f t="shared" si="33"/>
        <v/>
      </c>
      <c r="BJ78" s="104" t="str">
        <f t="shared" si="34"/>
        <v/>
      </c>
      <c r="BK78" s="104" t="str">
        <f t="shared" si="35"/>
        <v/>
      </c>
      <c r="BL78" s="104" t="str">
        <f t="shared" si="36"/>
        <v/>
      </c>
      <c r="BM78" s="57" t="str">
        <f>IF('2027'!$V$82="","",'2027'!$V$82)</f>
        <v/>
      </c>
      <c r="BN78" s="80" t="str">
        <f t="shared" si="37"/>
        <v/>
      </c>
      <c r="BO78" s="80" t="str">
        <f t="shared" si="38"/>
        <v/>
      </c>
      <c r="BP78" s="80" t="str">
        <f t="shared" si="39"/>
        <v/>
      </c>
      <c r="BQ78" s="80" t="str">
        <f t="shared" si="40"/>
        <v/>
      </c>
      <c r="BR78" s="80" t="str">
        <f t="shared" si="41"/>
        <v/>
      </c>
      <c r="BS78" s="116" t="str">
        <f t="shared" si="42"/>
        <v/>
      </c>
    </row>
    <row r="79" ht="15.0" customHeight="1">
      <c r="A79" s="49" t="str">
        <f>IF('2027'!$E$83="","",'2027'!$E$83)</f>
        <v/>
      </c>
      <c r="B79" s="50"/>
      <c r="C79" s="51" t="str">
        <f>IF('2027'!$B$83="","",'2027'!$B$83)</f>
        <v/>
      </c>
      <c r="D79" s="51" t="str">
        <f>IF('2027'!$C$83="","",'2027'!$C$83)</f>
        <v/>
      </c>
      <c r="E79" s="51" t="str">
        <f>IF('2027'!$D$83="","",'2027'!$D$83)</f>
        <v/>
      </c>
      <c r="F79" s="51" t="str">
        <f>IF('2027'!$E$83="","",'2027'!$E$83)</f>
        <v/>
      </c>
      <c r="G79" s="51" t="str">
        <f>IF('2027'!$F$83="","",'2027'!$F$83)</f>
        <v/>
      </c>
      <c r="H79" s="57" t="str">
        <f>IF('2027'!$H$83="","",'2027'!$H$83)</f>
        <v/>
      </c>
      <c r="I79" s="58"/>
      <c r="J79" s="51" t="str">
        <f>IF('2027'!$I$83="","",'2027'!$I$83)</f>
        <v/>
      </c>
      <c r="K79" s="51" t="str">
        <f t="shared" si="2"/>
        <v/>
      </c>
      <c r="L79" s="51" t="str">
        <f>IF('2027'!$J$83="","",'2027'!$J$83)</f>
        <v/>
      </c>
      <c r="M79" s="60" t="str">
        <f>IF('2027'!$K$83="","",'2027'!$K$83)</f>
        <v/>
      </c>
      <c r="N79" s="60" t="str">
        <f>IF('2027'!$L$83="","",'2027'!$L$83)</f>
        <v/>
      </c>
      <c r="O79" s="58" t="str">
        <f t="shared" si="3"/>
        <v/>
      </c>
      <c r="P79" s="58"/>
      <c r="Q79" s="51" t="str">
        <f t="shared" si="4"/>
        <v/>
      </c>
      <c r="R79" s="51" t="str">
        <f t="shared" si="5"/>
        <v/>
      </c>
      <c r="S79" s="58" t="str">
        <f t="shared" si="6"/>
        <v/>
      </c>
      <c r="T79" s="51" t="str">
        <f t="shared" si="7"/>
        <v/>
      </c>
      <c r="U79" s="50" t="str">
        <f t="shared" si="8"/>
        <v/>
      </c>
      <c r="V79" s="58" t="str">
        <f>IF('2027'!$G$83="","",'2027'!$G$83)</f>
        <v/>
      </c>
      <c r="W79" s="58"/>
      <c r="X79" s="51" t="str">
        <f t="shared" si="9"/>
        <v/>
      </c>
      <c r="Y79" s="51" t="str">
        <f t="shared" si="10"/>
        <v/>
      </c>
      <c r="Z79" s="80" t="str">
        <f t="shared" si="11"/>
        <v/>
      </c>
      <c r="AA79" s="60"/>
      <c r="AB79" s="51" t="str">
        <f t="shared" si="12"/>
        <v/>
      </c>
      <c r="AC79" s="58" t="str">
        <f t="shared" si="13"/>
        <v/>
      </c>
      <c r="AD79" s="80" t="str">
        <f>IF('2027'!$M$83="","",'2027'!$M$83)</f>
        <v/>
      </c>
      <c r="AE79" s="49" t="str">
        <f>IF('2027'!$N$83="","",'2027'!$N$83)</f>
        <v/>
      </c>
      <c r="AF79" s="80">
        <f>IF('2027'!$O$83="","",'2027'!$O$83)</f>
        <v>0</v>
      </c>
      <c r="AG79" s="86"/>
      <c r="AH79" s="86"/>
      <c r="AI79" s="80" t="str">
        <f>IF('2027'!$Q$83="","",'2027'!$Q$83)</f>
        <v/>
      </c>
      <c r="AJ79" s="80" t="str">
        <f t="shared" si="14"/>
        <v/>
      </c>
      <c r="AK79" s="80" t="str">
        <f t="shared" si="15"/>
        <v/>
      </c>
      <c r="AL79" s="80">
        <f>IF('2027'!$R$83="","",'2027'!$R$83)</f>
        <v>0</v>
      </c>
      <c r="AM79" s="89">
        <f t="shared" ref="AM79:AN79" si="116">IFERROR(AI79-AJ79,0)</f>
        <v>0</v>
      </c>
      <c r="AN79" s="89">
        <f t="shared" si="116"/>
        <v>0</v>
      </c>
      <c r="AO79" s="91">
        <f>IF('2027'!$S$83="","",'2027'!$S$83)</f>
        <v>0</v>
      </c>
      <c r="AP79" s="92">
        <f t="shared" si="17"/>
        <v>0</v>
      </c>
      <c r="AQ79" s="86" t="str">
        <f t="shared" si="18"/>
        <v/>
      </c>
      <c r="AR79" s="80" t="str">
        <f>IF('2027'!$T$83="","",'2027'!$T$83)</f>
        <v/>
      </c>
      <c r="AS79" s="80">
        <f>IF('2027'!$U$83="","",'2027'!$U$83)</f>
        <v>0</v>
      </c>
      <c r="AT79" s="86" t="str">
        <f t="shared" si="19"/>
        <v/>
      </c>
      <c r="AU79" s="86"/>
      <c r="AV79" s="96" t="str">
        <f t="shared" si="20"/>
        <v/>
      </c>
      <c r="AW79" s="97" t="str">
        <f t="shared" si="21"/>
        <v/>
      </c>
      <c r="AX79" s="97" t="str">
        <f t="shared" si="22"/>
        <v/>
      </c>
      <c r="AY79" s="60" t="str">
        <f t="shared" si="23"/>
        <v/>
      </c>
      <c r="AZ79" s="97" t="str">
        <f t="shared" si="24"/>
        <v/>
      </c>
      <c r="BA79" s="49" t="str">
        <f t="shared" si="25"/>
        <v/>
      </c>
      <c r="BB79" s="80" t="str">
        <f t="shared" si="26"/>
        <v/>
      </c>
      <c r="BC79" s="80" t="str">
        <f t="shared" si="27"/>
        <v/>
      </c>
      <c r="BD79" s="89">
        <f t="shared" si="28"/>
        <v>0</v>
      </c>
      <c r="BE79" s="60" t="str">
        <f t="shared" si="29"/>
        <v/>
      </c>
      <c r="BF79" s="102" t="str">
        <f t="shared" si="30"/>
        <v/>
      </c>
      <c r="BG79" s="103">
        <f t="shared" si="31"/>
        <v>-46258</v>
      </c>
      <c r="BH79" s="104" t="str">
        <f t="shared" si="32"/>
        <v/>
      </c>
      <c r="BI79" s="104" t="str">
        <f t="shared" si="33"/>
        <v/>
      </c>
      <c r="BJ79" s="104" t="str">
        <f t="shared" si="34"/>
        <v/>
      </c>
      <c r="BK79" s="104" t="str">
        <f t="shared" si="35"/>
        <v/>
      </c>
      <c r="BL79" s="104" t="str">
        <f t="shared" si="36"/>
        <v/>
      </c>
      <c r="BM79" s="57" t="str">
        <f>IF('2027'!$V$83="","",'2027'!$V$83)</f>
        <v/>
      </c>
      <c r="BN79" s="80" t="str">
        <f t="shared" si="37"/>
        <v/>
      </c>
      <c r="BO79" s="80" t="str">
        <f t="shared" si="38"/>
        <v/>
      </c>
      <c r="BP79" s="80" t="str">
        <f t="shared" si="39"/>
        <v/>
      </c>
      <c r="BQ79" s="80" t="str">
        <f t="shared" si="40"/>
        <v/>
      </c>
      <c r="BR79" s="80" t="str">
        <f t="shared" si="41"/>
        <v/>
      </c>
      <c r="BS79" s="116" t="str">
        <f t="shared" si="42"/>
        <v/>
      </c>
    </row>
    <row r="80" ht="15.0" customHeight="1">
      <c r="A80" s="49" t="str">
        <f>IF('2027'!$E$84="","",'2027'!$E$84)</f>
        <v/>
      </c>
      <c r="B80" s="50"/>
      <c r="C80" s="51" t="str">
        <f>IF('2027'!$B$84="","",'2027'!$B$84)</f>
        <v/>
      </c>
      <c r="D80" s="51" t="str">
        <f>IF('2027'!$C$84="","",'2027'!$C$84)</f>
        <v/>
      </c>
      <c r="E80" s="51" t="str">
        <f>IF('2027'!$D$84="","",'2027'!$D$84)</f>
        <v/>
      </c>
      <c r="F80" s="51" t="str">
        <f>IF('2027'!$E$84="","",'2027'!$E$84)</f>
        <v/>
      </c>
      <c r="G80" s="51" t="str">
        <f>IF('2027'!$F$84="","",'2027'!$F$84)</f>
        <v/>
      </c>
      <c r="H80" s="57" t="str">
        <f>IF('2027'!$H$84="","",'2027'!$H$84)</f>
        <v/>
      </c>
      <c r="I80" s="58"/>
      <c r="J80" s="51" t="str">
        <f>IF('2027'!$I$84="","",'2027'!$I$84)</f>
        <v/>
      </c>
      <c r="K80" s="51" t="str">
        <f t="shared" si="2"/>
        <v/>
      </c>
      <c r="L80" s="51" t="str">
        <f>IF('2027'!$J$84="","",'2027'!$J$84)</f>
        <v/>
      </c>
      <c r="M80" s="60" t="str">
        <f>IF('2027'!$K$84="","",'2027'!$K$84)</f>
        <v/>
      </c>
      <c r="N80" s="60" t="str">
        <f>IF('2027'!$L$84="","",'2027'!$L$84)</f>
        <v/>
      </c>
      <c r="O80" s="58" t="str">
        <f t="shared" si="3"/>
        <v/>
      </c>
      <c r="P80" s="58"/>
      <c r="Q80" s="51" t="str">
        <f t="shared" si="4"/>
        <v/>
      </c>
      <c r="R80" s="51" t="str">
        <f t="shared" si="5"/>
        <v/>
      </c>
      <c r="S80" s="58" t="str">
        <f t="shared" si="6"/>
        <v/>
      </c>
      <c r="T80" s="51" t="str">
        <f t="shared" si="7"/>
        <v/>
      </c>
      <c r="U80" s="50" t="str">
        <f t="shared" si="8"/>
        <v/>
      </c>
      <c r="V80" s="58" t="str">
        <f>IF('2027'!$G$84="","",'2027'!$G$84)</f>
        <v/>
      </c>
      <c r="W80" s="58"/>
      <c r="X80" s="51" t="str">
        <f t="shared" si="9"/>
        <v/>
      </c>
      <c r="Y80" s="51" t="str">
        <f t="shared" si="10"/>
        <v/>
      </c>
      <c r="Z80" s="80" t="str">
        <f t="shared" si="11"/>
        <v/>
      </c>
      <c r="AA80" s="60"/>
      <c r="AB80" s="51" t="str">
        <f t="shared" si="12"/>
        <v/>
      </c>
      <c r="AC80" s="58" t="str">
        <f t="shared" si="13"/>
        <v/>
      </c>
      <c r="AD80" s="80" t="str">
        <f>IF('2027'!$M$84="","",'2027'!$M$84)</f>
        <v/>
      </c>
      <c r="AE80" s="49" t="str">
        <f>IF('2027'!$N$84="","",'2027'!$N$84)</f>
        <v/>
      </c>
      <c r="AF80" s="80">
        <f>IF('2027'!$O$84="","",'2027'!$O$84)</f>
        <v>0</v>
      </c>
      <c r="AG80" s="86"/>
      <c r="AH80" s="86"/>
      <c r="AI80" s="80" t="str">
        <f>IF('2027'!$Q$84="","",'2027'!$Q$84)</f>
        <v/>
      </c>
      <c r="AJ80" s="80" t="str">
        <f t="shared" si="14"/>
        <v/>
      </c>
      <c r="AK80" s="80" t="str">
        <f t="shared" si="15"/>
        <v/>
      </c>
      <c r="AL80" s="80">
        <f>IF('2027'!$R$84="","",'2027'!$R$84)</f>
        <v>0</v>
      </c>
      <c r="AM80" s="89">
        <f t="shared" ref="AM80:AN80" si="117">IFERROR(AI80-AJ80,0)</f>
        <v>0</v>
      </c>
      <c r="AN80" s="89">
        <f t="shared" si="117"/>
        <v>0</v>
      </c>
      <c r="AO80" s="91">
        <f>IF('2027'!$S$84="","",'2027'!$S$84)</f>
        <v>0</v>
      </c>
      <c r="AP80" s="92">
        <f t="shared" si="17"/>
        <v>0</v>
      </c>
      <c r="AQ80" s="86" t="str">
        <f t="shared" si="18"/>
        <v/>
      </c>
      <c r="AR80" s="80" t="str">
        <f>IF('2027'!$T$84="","",'2027'!$T$84)</f>
        <v/>
      </c>
      <c r="AS80" s="80">
        <f>IF('2027'!$U$84="","",'2027'!$U$84)</f>
        <v>0</v>
      </c>
      <c r="AT80" s="86" t="str">
        <f t="shared" si="19"/>
        <v/>
      </c>
      <c r="AU80" s="86"/>
      <c r="AV80" s="96" t="str">
        <f t="shared" si="20"/>
        <v/>
      </c>
      <c r="AW80" s="97" t="str">
        <f t="shared" si="21"/>
        <v/>
      </c>
      <c r="AX80" s="97" t="str">
        <f t="shared" si="22"/>
        <v/>
      </c>
      <c r="AY80" s="60" t="str">
        <f t="shared" si="23"/>
        <v/>
      </c>
      <c r="AZ80" s="97" t="str">
        <f t="shared" si="24"/>
        <v/>
      </c>
      <c r="BA80" s="49" t="str">
        <f t="shared" si="25"/>
        <v/>
      </c>
      <c r="BB80" s="80" t="str">
        <f t="shared" si="26"/>
        <v/>
      </c>
      <c r="BC80" s="80" t="str">
        <f t="shared" si="27"/>
        <v/>
      </c>
      <c r="BD80" s="89">
        <f t="shared" si="28"/>
        <v>0</v>
      </c>
      <c r="BE80" s="60" t="str">
        <f t="shared" si="29"/>
        <v/>
      </c>
      <c r="BF80" s="102" t="str">
        <f t="shared" si="30"/>
        <v/>
      </c>
      <c r="BG80" s="103">
        <f t="shared" si="31"/>
        <v>-46258</v>
      </c>
      <c r="BH80" s="104" t="str">
        <f t="shared" si="32"/>
        <v/>
      </c>
      <c r="BI80" s="104" t="str">
        <f t="shared" si="33"/>
        <v/>
      </c>
      <c r="BJ80" s="104" t="str">
        <f t="shared" si="34"/>
        <v/>
      </c>
      <c r="BK80" s="104" t="str">
        <f t="shared" si="35"/>
        <v/>
      </c>
      <c r="BL80" s="104" t="str">
        <f t="shared" si="36"/>
        <v/>
      </c>
      <c r="BM80" s="57" t="str">
        <f>IF('2027'!$V$84="","",'2027'!$V$84)</f>
        <v/>
      </c>
      <c r="BN80" s="80" t="str">
        <f t="shared" si="37"/>
        <v/>
      </c>
      <c r="BO80" s="80" t="str">
        <f t="shared" si="38"/>
        <v/>
      </c>
      <c r="BP80" s="80" t="str">
        <f t="shared" si="39"/>
        <v/>
      </c>
      <c r="BQ80" s="80" t="str">
        <f t="shared" si="40"/>
        <v/>
      </c>
      <c r="BR80" s="80" t="str">
        <f t="shared" si="41"/>
        <v/>
      </c>
      <c r="BS80" s="116" t="str">
        <f t="shared" si="42"/>
        <v/>
      </c>
    </row>
    <row r="81" ht="15.0" customHeight="1">
      <c r="A81" s="49" t="str">
        <f>IF('2027'!$E$85="","",'2027'!$E$85)</f>
        <v/>
      </c>
      <c r="B81" s="50"/>
      <c r="C81" s="51" t="str">
        <f>IF('2027'!$B$85="","",'2027'!$B$85)</f>
        <v/>
      </c>
      <c r="D81" s="51" t="str">
        <f>IF('2027'!$C$85="","",'2027'!$C$85)</f>
        <v/>
      </c>
      <c r="E81" s="51" t="str">
        <f>IF('2027'!$D$85="","",'2027'!$D$85)</f>
        <v/>
      </c>
      <c r="F81" s="51" t="str">
        <f>IF('2027'!$E$85="","",'2027'!$E$85)</f>
        <v/>
      </c>
      <c r="G81" s="51" t="str">
        <f>IF('2027'!$F$85="","",'2027'!$F$85)</f>
        <v/>
      </c>
      <c r="H81" s="57" t="str">
        <f>IF('2027'!$H$85="","",'2027'!$H$85)</f>
        <v/>
      </c>
      <c r="I81" s="58"/>
      <c r="J81" s="51" t="str">
        <f>IF('2027'!$I$85="","",'2027'!$I$85)</f>
        <v/>
      </c>
      <c r="K81" s="51" t="str">
        <f t="shared" si="2"/>
        <v/>
      </c>
      <c r="L81" s="51" t="str">
        <f>IF('2027'!$J$85="","",'2027'!$J$85)</f>
        <v/>
      </c>
      <c r="M81" s="60" t="str">
        <f>IF('2027'!$K$85="","",'2027'!$K$85)</f>
        <v/>
      </c>
      <c r="N81" s="60" t="str">
        <f>IF('2027'!$L$85="","",'2027'!$L$85)</f>
        <v/>
      </c>
      <c r="O81" s="58" t="str">
        <f t="shared" si="3"/>
        <v/>
      </c>
      <c r="P81" s="58"/>
      <c r="Q81" s="51" t="str">
        <f t="shared" si="4"/>
        <v/>
      </c>
      <c r="R81" s="51" t="str">
        <f t="shared" si="5"/>
        <v/>
      </c>
      <c r="S81" s="58" t="str">
        <f t="shared" si="6"/>
        <v/>
      </c>
      <c r="T81" s="51" t="str">
        <f t="shared" si="7"/>
        <v/>
      </c>
      <c r="U81" s="50" t="str">
        <f t="shared" si="8"/>
        <v/>
      </c>
      <c r="V81" s="58" t="str">
        <f>IF('2027'!$G$85="","",'2027'!$G$85)</f>
        <v/>
      </c>
      <c r="W81" s="58"/>
      <c r="X81" s="51" t="str">
        <f t="shared" si="9"/>
        <v/>
      </c>
      <c r="Y81" s="51" t="str">
        <f t="shared" si="10"/>
        <v/>
      </c>
      <c r="Z81" s="80" t="str">
        <f t="shared" si="11"/>
        <v/>
      </c>
      <c r="AA81" s="60"/>
      <c r="AB81" s="51" t="str">
        <f t="shared" si="12"/>
        <v/>
      </c>
      <c r="AC81" s="58" t="str">
        <f t="shared" si="13"/>
        <v/>
      </c>
      <c r="AD81" s="80" t="str">
        <f>IF('2027'!$M$85="","",'2027'!$M$85)</f>
        <v/>
      </c>
      <c r="AE81" s="49" t="str">
        <f>IF('2027'!$N$85="","",'2027'!$N$85)</f>
        <v/>
      </c>
      <c r="AF81" s="80">
        <f>IF('2027'!$O$85="","",'2027'!$O$85)</f>
        <v>0</v>
      </c>
      <c r="AG81" s="86"/>
      <c r="AH81" s="86"/>
      <c r="AI81" s="80" t="str">
        <f>IF('2027'!$Q$85="","",'2027'!$Q$85)</f>
        <v/>
      </c>
      <c r="AJ81" s="80" t="str">
        <f t="shared" si="14"/>
        <v/>
      </c>
      <c r="AK81" s="80" t="str">
        <f t="shared" si="15"/>
        <v/>
      </c>
      <c r="AL81" s="80">
        <f>IF('2027'!$R$85="","",'2027'!$R$85)</f>
        <v>0</v>
      </c>
      <c r="AM81" s="89">
        <f t="shared" ref="AM81:AN81" si="118">IFERROR(AI81-AJ81,0)</f>
        <v>0</v>
      </c>
      <c r="AN81" s="89">
        <f t="shared" si="118"/>
        <v>0</v>
      </c>
      <c r="AO81" s="91">
        <f>IF('2027'!$S$85="","",'2027'!$S$85)</f>
        <v>0</v>
      </c>
      <c r="AP81" s="92">
        <f t="shared" si="17"/>
        <v>0</v>
      </c>
      <c r="AQ81" s="86" t="str">
        <f t="shared" si="18"/>
        <v/>
      </c>
      <c r="AR81" s="80" t="str">
        <f>IF('2027'!$T$85="","",'2027'!$T$85)</f>
        <v/>
      </c>
      <c r="AS81" s="80">
        <f>IF('2027'!$U$85="","",'2027'!$U$85)</f>
        <v>0</v>
      </c>
      <c r="AT81" s="86" t="str">
        <f t="shared" si="19"/>
        <v/>
      </c>
      <c r="AU81" s="86"/>
      <c r="AV81" s="96" t="str">
        <f t="shared" si="20"/>
        <v/>
      </c>
      <c r="AW81" s="97" t="str">
        <f t="shared" si="21"/>
        <v/>
      </c>
      <c r="AX81" s="97" t="str">
        <f t="shared" si="22"/>
        <v/>
      </c>
      <c r="AY81" s="60" t="str">
        <f t="shared" si="23"/>
        <v/>
      </c>
      <c r="AZ81" s="97" t="str">
        <f t="shared" si="24"/>
        <v/>
      </c>
      <c r="BA81" s="49" t="str">
        <f t="shared" si="25"/>
        <v/>
      </c>
      <c r="BB81" s="80" t="str">
        <f t="shared" si="26"/>
        <v/>
      </c>
      <c r="BC81" s="80" t="str">
        <f t="shared" si="27"/>
        <v/>
      </c>
      <c r="BD81" s="89">
        <f t="shared" si="28"/>
        <v>0</v>
      </c>
      <c r="BE81" s="60" t="str">
        <f t="shared" si="29"/>
        <v/>
      </c>
      <c r="BF81" s="102" t="str">
        <f t="shared" si="30"/>
        <v/>
      </c>
      <c r="BG81" s="103">
        <f t="shared" si="31"/>
        <v>-46258</v>
      </c>
      <c r="BH81" s="104" t="str">
        <f t="shared" si="32"/>
        <v/>
      </c>
      <c r="BI81" s="104" t="str">
        <f t="shared" si="33"/>
        <v/>
      </c>
      <c r="BJ81" s="104" t="str">
        <f t="shared" si="34"/>
        <v/>
      </c>
      <c r="BK81" s="104" t="str">
        <f t="shared" si="35"/>
        <v/>
      </c>
      <c r="BL81" s="104" t="str">
        <f t="shared" si="36"/>
        <v/>
      </c>
      <c r="BM81" s="57" t="str">
        <f>IF('2027'!$V$85="","",'2027'!$V$85)</f>
        <v/>
      </c>
      <c r="BN81" s="80" t="str">
        <f t="shared" si="37"/>
        <v/>
      </c>
      <c r="BO81" s="80" t="str">
        <f t="shared" si="38"/>
        <v/>
      </c>
      <c r="BP81" s="80" t="str">
        <f t="shared" si="39"/>
        <v/>
      </c>
      <c r="BQ81" s="80" t="str">
        <f t="shared" si="40"/>
        <v/>
      </c>
      <c r="BR81" s="80" t="str">
        <f t="shared" si="41"/>
        <v/>
      </c>
      <c r="BS81" s="116" t="str">
        <f t="shared" si="42"/>
        <v/>
      </c>
    </row>
    <row r="82" ht="15.0" customHeight="1">
      <c r="A82" s="49" t="str">
        <f>IF('2027'!$E$86="","",'2027'!$E$86)</f>
        <v/>
      </c>
      <c r="B82" s="50"/>
      <c r="C82" s="51" t="str">
        <f>IF('2027'!$B$86="","",'2027'!$B$86)</f>
        <v/>
      </c>
      <c r="D82" s="51" t="str">
        <f>IF('2027'!$C$86="","",'2027'!$C$86)</f>
        <v/>
      </c>
      <c r="E82" s="51" t="str">
        <f>IF('2027'!$D$86="","",'2027'!$D$86)</f>
        <v/>
      </c>
      <c r="F82" s="51" t="str">
        <f>IF('2027'!$E$86="","",'2027'!$E$86)</f>
        <v/>
      </c>
      <c r="G82" s="51" t="str">
        <f>IF('2027'!$F$86="","",'2027'!$F$86)</f>
        <v/>
      </c>
      <c r="H82" s="57" t="str">
        <f>IF('2027'!$H$86="","",'2027'!$H$86)</f>
        <v/>
      </c>
      <c r="I82" s="58"/>
      <c r="J82" s="51" t="str">
        <f>IF('2027'!$I$86="","",'2027'!$I$86)</f>
        <v/>
      </c>
      <c r="K82" s="51" t="str">
        <f t="shared" si="2"/>
        <v/>
      </c>
      <c r="L82" s="51" t="str">
        <f>IF('2027'!$J$86="","",'2027'!$J$86)</f>
        <v/>
      </c>
      <c r="M82" s="60" t="str">
        <f>IF('2027'!$K$86="","",'2027'!$K$86)</f>
        <v/>
      </c>
      <c r="N82" s="60" t="str">
        <f>IF('2027'!$L$86="","",'2027'!$L$86)</f>
        <v/>
      </c>
      <c r="O82" s="58" t="str">
        <f t="shared" si="3"/>
        <v/>
      </c>
      <c r="P82" s="58"/>
      <c r="Q82" s="51" t="str">
        <f t="shared" si="4"/>
        <v/>
      </c>
      <c r="R82" s="51" t="str">
        <f t="shared" si="5"/>
        <v/>
      </c>
      <c r="S82" s="58" t="str">
        <f t="shared" si="6"/>
        <v/>
      </c>
      <c r="T82" s="51" t="str">
        <f t="shared" si="7"/>
        <v/>
      </c>
      <c r="U82" s="50" t="str">
        <f t="shared" si="8"/>
        <v/>
      </c>
      <c r="V82" s="58" t="str">
        <f>IF('2027'!$G$86="","",'2027'!$G$86)</f>
        <v/>
      </c>
      <c r="W82" s="58"/>
      <c r="X82" s="51" t="str">
        <f t="shared" si="9"/>
        <v/>
      </c>
      <c r="Y82" s="51" t="str">
        <f t="shared" si="10"/>
        <v/>
      </c>
      <c r="Z82" s="80" t="str">
        <f t="shared" si="11"/>
        <v/>
      </c>
      <c r="AA82" s="60"/>
      <c r="AB82" s="51" t="str">
        <f t="shared" si="12"/>
        <v/>
      </c>
      <c r="AC82" s="58" t="str">
        <f t="shared" si="13"/>
        <v/>
      </c>
      <c r="AD82" s="80" t="str">
        <f>IF('2027'!$M$86="","",'2027'!$M$86)</f>
        <v/>
      </c>
      <c r="AE82" s="49" t="str">
        <f>IF('2027'!$N$86="","",'2027'!$N$86)</f>
        <v/>
      </c>
      <c r="AF82" s="80">
        <f>IF('2027'!$O$86="","",'2027'!$O$86)</f>
        <v>0</v>
      </c>
      <c r="AG82" s="86"/>
      <c r="AH82" s="86"/>
      <c r="AI82" s="80" t="str">
        <f>IF('2027'!$Q$86="","",'2027'!$Q$86)</f>
        <v/>
      </c>
      <c r="AJ82" s="80" t="str">
        <f t="shared" si="14"/>
        <v/>
      </c>
      <c r="AK82" s="80" t="str">
        <f t="shared" si="15"/>
        <v/>
      </c>
      <c r="AL82" s="80">
        <f>IF('2027'!$R$86="","",'2027'!$R$86)</f>
        <v>0</v>
      </c>
      <c r="AM82" s="89">
        <f t="shared" ref="AM82:AN82" si="119">IFERROR(AI82-AJ82,0)</f>
        <v>0</v>
      </c>
      <c r="AN82" s="89">
        <f t="shared" si="119"/>
        <v>0</v>
      </c>
      <c r="AO82" s="91">
        <f>IF('2027'!$S$86="","",'2027'!$S$86)</f>
        <v>0</v>
      </c>
      <c r="AP82" s="92">
        <f t="shared" si="17"/>
        <v>0</v>
      </c>
      <c r="AQ82" s="86" t="str">
        <f t="shared" si="18"/>
        <v/>
      </c>
      <c r="AR82" s="80" t="str">
        <f>IF('2027'!$T$86="","",'2027'!$T$86)</f>
        <v/>
      </c>
      <c r="AS82" s="80">
        <f>IF('2027'!$U$86="","",'2027'!$U$86)</f>
        <v>0</v>
      </c>
      <c r="AT82" s="86" t="str">
        <f t="shared" si="19"/>
        <v/>
      </c>
      <c r="AU82" s="86"/>
      <c r="AV82" s="96" t="str">
        <f t="shared" si="20"/>
        <v/>
      </c>
      <c r="AW82" s="97" t="str">
        <f t="shared" si="21"/>
        <v/>
      </c>
      <c r="AX82" s="97" t="str">
        <f t="shared" si="22"/>
        <v/>
      </c>
      <c r="AY82" s="60" t="str">
        <f t="shared" si="23"/>
        <v/>
      </c>
      <c r="AZ82" s="97" t="str">
        <f t="shared" si="24"/>
        <v/>
      </c>
      <c r="BA82" s="49" t="str">
        <f t="shared" si="25"/>
        <v/>
      </c>
      <c r="BB82" s="80" t="str">
        <f t="shared" si="26"/>
        <v/>
      </c>
      <c r="BC82" s="80" t="str">
        <f t="shared" si="27"/>
        <v/>
      </c>
      <c r="BD82" s="89">
        <f t="shared" si="28"/>
        <v>0</v>
      </c>
      <c r="BE82" s="60" t="str">
        <f t="shared" si="29"/>
        <v/>
      </c>
      <c r="BF82" s="102" t="str">
        <f t="shared" si="30"/>
        <v/>
      </c>
      <c r="BG82" s="103">
        <f t="shared" si="31"/>
        <v>-46258</v>
      </c>
      <c r="BH82" s="104" t="str">
        <f t="shared" si="32"/>
        <v/>
      </c>
      <c r="BI82" s="104" t="str">
        <f t="shared" si="33"/>
        <v/>
      </c>
      <c r="BJ82" s="104" t="str">
        <f t="shared" si="34"/>
        <v/>
      </c>
      <c r="BK82" s="104" t="str">
        <f t="shared" si="35"/>
        <v/>
      </c>
      <c r="BL82" s="104" t="str">
        <f t="shared" si="36"/>
        <v/>
      </c>
      <c r="BM82" s="57" t="str">
        <f>IF('2027'!$V$86="","",'2027'!$V$86)</f>
        <v/>
      </c>
      <c r="BN82" s="80" t="str">
        <f t="shared" si="37"/>
        <v/>
      </c>
      <c r="BO82" s="80" t="str">
        <f t="shared" si="38"/>
        <v/>
      </c>
      <c r="BP82" s="80" t="str">
        <f t="shared" si="39"/>
        <v/>
      </c>
      <c r="BQ82" s="80" t="str">
        <f t="shared" si="40"/>
        <v/>
      </c>
      <c r="BR82" s="80" t="str">
        <f t="shared" si="41"/>
        <v/>
      </c>
      <c r="BS82" s="116" t="str">
        <f t="shared" si="42"/>
        <v/>
      </c>
    </row>
    <row r="83" ht="15.0" customHeight="1">
      <c r="A83" s="49" t="str">
        <f>IF('2027'!$E$87="","",'2027'!$E$87)</f>
        <v/>
      </c>
      <c r="B83" s="50"/>
      <c r="C83" s="51" t="str">
        <f>IF('2027'!$B$87="","",'2027'!$B$87)</f>
        <v/>
      </c>
      <c r="D83" s="51" t="str">
        <f>IF('2027'!$C$87="","",'2027'!$C$87)</f>
        <v/>
      </c>
      <c r="E83" s="51" t="str">
        <f>IF('2027'!$D$87="","",'2027'!$D$87)</f>
        <v/>
      </c>
      <c r="F83" s="51" t="str">
        <f>IF('2027'!$E$87="","",'2027'!$E$87)</f>
        <v/>
      </c>
      <c r="G83" s="51" t="str">
        <f>IF('2027'!$F$87="","",'2027'!$F$87)</f>
        <v/>
      </c>
      <c r="H83" s="57" t="str">
        <f>IF('2027'!$H$87="","",'2027'!$H$87)</f>
        <v/>
      </c>
      <c r="I83" s="58"/>
      <c r="J83" s="51" t="str">
        <f>IF('2027'!$I$87="","",'2027'!$I$87)</f>
        <v/>
      </c>
      <c r="K83" s="51" t="str">
        <f t="shared" si="2"/>
        <v/>
      </c>
      <c r="L83" s="51" t="str">
        <f>IF('2027'!$J$87="","",'2027'!$J$87)</f>
        <v/>
      </c>
      <c r="M83" s="60" t="str">
        <f>IF('2027'!$K$87="","",'2027'!$K$87)</f>
        <v/>
      </c>
      <c r="N83" s="60" t="str">
        <f>IF('2027'!$L$87="","",'2027'!$L$87)</f>
        <v/>
      </c>
      <c r="O83" s="58" t="str">
        <f t="shared" si="3"/>
        <v/>
      </c>
      <c r="P83" s="58"/>
      <c r="Q83" s="51" t="str">
        <f t="shared" si="4"/>
        <v/>
      </c>
      <c r="R83" s="51" t="str">
        <f t="shared" si="5"/>
        <v/>
      </c>
      <c r="S83" s="58" t="str">
        <f t="shared" si="6"/>
        <v/>
      </c>
      <c r="T83" s="51" t="str">
        <f t="shared" si="7"/>
        <v/>
      </c>
      <c r="U83" s="50" t="str">
        <f t="shared" si="8"/>
        <v/>
      </c>
      <c r="V83" s="58" t="str">
        <f>IF('2027'!$G$87="","",'2027'!$G$87)</f>
        <v/>
      </c>
      <c r="W83" s="58"/>
      <c r="X83" s="51" t="str">
        <f t="shared" si="9"/>
        <v/>
      </c>
      <c r="Y83" s="51" t="str">
        <f t="shared" si="10"/>
        <v/>
      </c>
      <c r="Z83" s="80" t="str">
        <f t="shared" si="11"/>
        <v/>
      </c>
      <c r="AA83" s="60"/>
      <c r="AB83" s="51" t="str">
        <f t="shared" si="12"/>
        <v/>
      </c>
      <c r="AC83" s="58" t="str">
        <f t="shared" si="13"/>
        <v/>
      </c>
      <c r="AD83" s="80" t="str">
        <f>IF('2027'!$M$87="","",'2027'!$M$87)</f>
        <v/>
      </c>
      <c r="AE83" s="49" t="str">
        <f>IF('2027'!$N$87="","",'2027'!$N$87)</f>
        <v/>
      </c>
      <c r="AF83" s="80">
        <f>IF('2027'!$O$87="","",'2027'!$O$87)</f>
        <v>0</v>
      </c>
      <c r="AG83" s="86"/>
      <c r="AH83" s="86"/>
      <c r="AI83" s="80" t="str">
        <f>IF('2027'!$Q$87="","",'2027'!$Q$87)</f>
        <v/>
      </c>
      <c r="AJ83" s="80" t="str">
        <f t="shared" si="14"/>
        <v/>
      </c>
      <c r="AK83" s="80" t="str">
        <f t="shared" si="15"/>
        <v/>
      </c>
      <c r="AL83" s="80">
        <f>IF('2027'!$R$87="","",'2027'!$R$87)</f>
        <v>0</v>
      </c>
      <c r="AM83" s="89">
        <f t="shared" ref="AM83:AN83" si="120">IFERROR(AI83-AJ83,0)</f>
        <v>0</v>
      </c>
      <c r="AN83" s="89">
        <f t="shared" si="120"/>
        <v>0</v>
      </c>
      <c r="AO83" s="91">
        <f>IF('2027'!$S$87="","",'2027'!$S$87)</f>
        <v>0</v>
      </c>
      <c r="AP83" s="92">
        <f t="shared" si="17"/>
        <v>0</v>
      </c>
      <c r="AQ83" s="86" t="str">
        <f t="shared" si="18"/>
        <v/>
      </c>
      <c r="AR83" s="80" t="str">
        <f>IF('2027'!$T$87="","",'2027'!$T$87)</f>
        <v/>
      </c>
      <c r="AS83" s="80">
        <f>IF('2027'!$U$87="","",'2027'!$U$87)</f>
        <v>0</v>
      </c>
      <c r="AT83" s="86" t="str">
        <f t="shared" si="19"/>
        <v/>
      </c>
      <c r="AU83" s="86"/>
      <c r="AV83" s="96" t="str">
        <f t="shared" si="20"/>
        <v/>
      </c>
      <c r="AW83" s="97" t="str">
        <f t="shared" si="21"/>
        <v/>
      </c>
      <c r="AX83" s="97" t="str">
        <f t="shared" si="22"/>
        <v/>
      </c>
      <c r="AY83" s="60" t="str">
        <f t="shared" si="23"/>
        <v/>
      </c>
      <c r="AZ83" s="97" t="str">
        <f t="shared" si="24"/>
        <v/>
      </c>
      <c r="BA83" s="49" t="str">
        <f t="shared" si="25"/>
        <v/>
      </c>
      <c r="BB83" s="80" t="str">
        <f t="shared" si="26"/>
        <v/>
      </c>
      <c r="BC83" s="80" t="str">
        <f t="shared" si="27"/>
        <v/>
      </c>
      <c r="BD83" s="89">
        <f t="shared" si="28"/>
        <v>0</v>
      </c>
      <c r="BE83" s="60" t="str">
        <f t="shared" si="29"/>
        <v/>
      </c>
      <c r="BF83" s="102" t="str">
        <f t="shared" si="30"/>
        <v/>
      </c>
      <c r="BG83" s="103">
        <f t="shared" si="31"/>
        <v>-46258</v>
      </c>
      <c r="BH83" s="104" t="str">
        <f t="shared" si="32"/>
        <v/>
      </c>
      <c r="BI83" s="104" t="str">
        <f t="shared" si="33"/>
        <v/>
      </c>
      <c r="BJ83" s="104" t="str">
        <f t="shared" si="34"/>
        <v/>
      </c>
      <c r="BK83" s="104" t="str">
        <f t="shared" si="35"/>
        <v/>
      </c>
      <c r="BL83" s="104" t="str">
        <f t="shared" si="36"/>
        <v/>
      </c>
      <c r="BM83" s="57" t="str">
        <f>IF('2027'!$V$87="","",'2027'!$V$87)</f>
        <v/>
      </c>
      <c r="BN83" s="80" t="str">
        <f t="shared" si="37"/>
        <v/>
      </c>
      <c r="BO83" s="80" t="str">
        <f t="shared" si="38"/>
        <v/>
      </c>
      <c r="BP83" s="80" t="str">
        <f t="shared" si="39"/>
        <v/>
      </c>
      <c r="BQ83" s="80" t="str">
        <f t="shared" si="40"/>
        <v/>
      </c>
      <c r="BR83" s="80" t="str">
        <f t="shared" si="41"/>
        <v/>
      </c>
      <c r="BS83" s="116" t="str">
        <f t="shared" si="42"/>
        <v/>
      </c>
    </row>
    <row r="84" ht="15.0" customHeight="1">
      <c r="A84" s="49" t="str">
        <f>IF('2027'!$E$88="","",'2027'!$E$88)</f>
        <v/>
      </c>
      <c r="B84" s="50"/>
      <c r="C84" s="51" t="str">
        <f>IF('2027'!$B$88="","",'2027'!$B$88)</f>
        <v/>
      </c>
      <c r="D84" s="51" t="str">
        <f>IF('2027'!$C$88="","",'2027'!$C$88)</f>
        <v/>
      </c>
      <c r="E84" s="51" t="str">
        <f>IF('2027'!$D$88="","",'2027'!$D$88)</f>
        <v/>
      </c>
      <c r="F84" s="51" t="str">
        <f>IF('2027'!$E$88="","",'2027'!$E$88)</f>
        <v/>
      </c>
      <c r="G84" s="51" t="str">
        <f>IF('2027'!$F$88="","",'2027'!$F$88)</f>
        <v/>
      </c>
      <c r="H84" s="57" t="str">
        <f>IF('2027'!$H$88="","",'2027'!$H$88)</f>
        <v/>
      </c>
      <c r="I84" s="58"/>
      <c r="J84" s="51" t="str">
        <f>IF('2027'!$I$88="","",'2027'!$I$88)</f>
        <v/>
      </c>
      <c r="K84" s="51" t="str">
        <f t="shared" si="2"/>
        <v/>
      </c>
      <c r="L84" s="51" t="str">
        <f>IF('2027'!$J$88="","",'2027'!$J$88)</f>
        <v/>
      </c>
      <c r="M84" s="60" t="str">
        <f>IF('2027'!$K$88="","",'2027'!$K$88)</f>
        <v/>
      </c>
      <c r="N84" s="60" t="str">
        <f>IF('2027'!$L$88="","",'2027'!$L$88)</f>
        <v/>
      </c>
      <c r="O84" s="58" t="str">
        <f t="shared" si="3"/>
        <v/>
      </c>
      <c r="P84" s="58"/>
      <c r="Q84" s="51" t="str">
        <f t="shared" si="4"/>
        <v/>
      </c>
      <c r="R84" s="51" t="str">
        <f t="shared" si="5"/>
        <v/>
      </c>
      <c r="S84" s="58" t="str">
        <f t="shared" si="6"/>
        <v/>
      </c>
      <c r="T84" s="51" t="str">
        <f t="shared" si="7"/>
        <v/>
      </c>
      <c r="U84" s="50" t="str">
        <f t="shared" si="8"/>
        <v/>
      </c>
      <c r="V84" s="58" t="str">
        <f>IF('2027'!$G$88="","",'2027'!$G$88)</f>
        <v/>
      </c>
      <c r="W84" s="58"/>
      <c r="X84" s="51" t="str">
        <f t="shared" si="9"/>
        <v/>
      </c>
      <c r="Y84" s="51" t="str">
        <f t="shared" si="10"/>
        <v/>
      </c>
      <c r="Z84" s="80" t="str">
        <f t="shared" si="11"/>
        <v/>
      </c>
      <c r="AA84" s="60"/>
      <c r="AB84" s="51" t="str">
        <f t="shared" si="12"/>
        <v/>
      </c>
      <c r="AC84" s="58" t="str">
        <f t="shared" si="13"/>
        <v/>
      </c>
      <c r="AD84" s="80" t="str">
        <f>IF('2027'!$M$88="","",'2027'!$M$88)</f>
        <v/>
      </c>
      <c r="AE84" s="49" t="str">
        <f>IF('2027'!$N$88="","",'2027'!$N$88)</f>
        <v/>
      </c>
      <c r="AF84" s="80">
        <f>IF('2027'!$O$88="","",'2027'!$O$88)</f>
        <v>0</v>
      </c>
      <c r="AG84" s="86"/>
      <c r="AH84" s="86"/>
      <c r="AI84" s="80" t="str">
        <f>IF('2027'!$Q$88="","",'2027'!$Q$88)</f>
        <v/>
      </c>
      <c r="AJ84" s="80" t="str">
        <f t="shared" si="14"/>
        <v/>
      </c>
      <c r="AK84" s="80" t="str">
        <f t="shared" si="15"/>
        <v/>
      </c>
      <c r="AL84" s="80">
        <f>IF('2027'!$R$88="","",'2027'!$R$88)</f>
        <v>0</v>
      </c>
      <c r="AM84" s="89">
        <f t="shared" ref="AM84:AN84" si="121">IFERROR(AI84-AJ84,0)</f>
        <v>0</v>
      </c>
      <c r="AN84" s="89">
        <f t="shared" si="121"/>
        <v>0</v>
      </c>
      <c r="AO84" s="91">
        <f>IF('2027'!$S$88="","",'2027'!$S$88)</f>
        <v>0</v>
      </c>
      <c r="AP84" s="92">
        <f t="shared" si="17"/>
        <v>0</v>
      </c>
      <c r="AQ84" s="86" t="str">
        <f t="shared" si="18"/>
        <v/>
      </c>
      <c r="AR84" s="80" t="str">
        <f>IF('2027'!$T$88="","",'2027'!$T$88)</f>
        <v/>
      </c>
      <c r="AS84" s="80">
        <f>IF('2027'!$U$88="","",'2027'!$U$88)</f>
        <v>0</v>
      </c>
      <c r="AT84" s="86" t="str">
        <f t="shared" si="19"/>
        <v/>
      </c>
      <c r="AU84" s="86"/>
      <c r="AV84" s="96" t="str">
        <f t="shared" si="20"/>
        <v/>
      </c>
      <c r="AW84" s="97" t="str">
        <f t="shared" si="21"/>
        <v/>
      </c>
      <c r="AX84" s="97" t="str">
        <f t="shared" si="22"/>
        <v/>
      </c>
      <c r="AY84" s="60" t="str">
        <f t="shared" si="23"/>
        <v/>
      </c>
      <c r="AZ84" s="97" t="str">
        <f t="shared" si="24"/>
        <v/>
      </c>
      <c r="BA84" s="49" t="str">
        <f t="shared" si="25"/>
        <v/>
      </c>
      <c r="BB84" s="80" t="str">
        <f t="shared" si="26"/>
        <v/>
      </c>
      <c r="BC84" s="80" t="str">
        <f t="shared" si="27"/>
        <v/>
      </c>
      <c r="BD84" s="89">
        <f t="shared" si="28"/>
        <v>0</v>
      </c>
      <c r="BE84" s="60" t="str">
        <f t="shared" si="29"/>
        <v/>
      </c>
      <c r="BF84" s="102" t="str">
        <f t="shared" si="30"/>
        <v/>
      </c>
      <c r="BG84" s="103">
        <f t="shared" si="31"/>
        <v>-46258</v>
      </c>
      <c r="BH84" s="104" t="str">
        <f t="shared" si="32"/>
        <v/>
      </c>
      <c r="BI84" s="104" t="str">
        <f t="shared" si="33"/>
        <v/>
      </c>
      <c r="BJ84" s="104" t="str">
        <f t="shared" si="34"/>
        <v/>
      </c>
      <c r="BK84" s="104" t="str">
        <f t="shared" si="35"/>
        <v/>
      </c>
      <c r="BL84" s="104" t="str">
        <f t="shared" si="36"/>
        <v/>
      </c>
      <c r="BM84" s="57" t="str">
        <f>IF('2027'!$V$88="","",'2027'!$V$88)</f>
        <v/>
      </c>
      <c r="BN84" s="80" t="str">
        <f t="shared" si="37"/>
        <v/>
      </c>
      <c r="BO84" s="80" t="str">
        <f t="shared" si="38"/>
        <v/>
      </c>
      <c r="BP84" s="80" t="str">
        <f t="shared" si="39"/>
        <v/>
      </c>
      <c r="BQ84" s="80" t="str">
        <f t="shared" si="40"/>
        <v/>
      </c>
      <c r="BR84" s="80" t="str">
        <f t="shared" si="41"/>
        <v/>
      </c>
      <c r="BS84" s="116" t="str">
        <f t="shared" si="42"/>
        <v/>
      </c>
    </row>
    <row r="85" ht="15.0" customHeight="1">
      <c r="A85" s="49" t="str">
        <f>IF('2027'!$E$89="","",'2027'!$E$89)</f>
        <v/>
      </c>
      <c r="B85" s="50"/>
      <c r="C85" s="51" t="str">
        <f>IF('2027'!$B$89="","",'2027'!$B$89)</f>
        <v/>
      </c>
      <c r="D85" s="51" t="str">
        <f>IF('2027'!$C$89="","",'2027'!$C$89)</f>
        <v/>
      </c>
      <c r="E85" s="51" t="str">
        <f>IF('2027'!$D$89="","",'2027'!$D$89)</f>
        <v/>
      </c>
      <c r="F85" s="51" t="str">
        <f>IF('2027'!$E$89="","",'2027'!$E$89)</f>
        <v/>
      </c>
      <c r="G85" s="51" t="str">
        <f>IF('2027'!$F$89="","",'2027'!$F$89)</f>
        <v/>
      </c>
      <c r="H85" s="57" t="str">
        <f>IF('2027'!$H$89="","",'2027'!$H$89)</f>
        <v/>
      </c>
      <c r="I85" s="58"/>
      <c r="J85" s="51" t="str">
        <f>IF('2027'!$I$89="","",'2027'!$I$89)</f>
        <v/>
      </c>
      <c r="K85" s="51" t="str">
        <f t="shared" si="2"/>
        <v/>
      </c>
      <c r="L85" s="51" t="str">
        <f>IF('2027'!$J$89="","",'2027'!$J$89)</f>
        <v/>
      </c>
      <c r="M85" s="60" t="str">
        <f>IF('2027'!$K$89="","",'2027'!$K$89)</f>
        <v/>
      </c>
      <c r="N85" s="60" t="str">
        <f>IF('2027'!$L$89="","",'2027'!$L$89)</f>
        <v/>
      </c>
      <c r="O85" s="58" t="str">
        <f t="shared" si="3"/>
        <v/>
      </c>
      <c r="P85" s="58"/>
      <c r="Q85" s="51" t="str">
        <f t="shared" si="4"/>
        <v/>
      </c>
      <c r="R85" s="51" t="str">
        <f t="shared" si="5"/>
        <v/>
      </c>
      <c r="S85" s="58" t="str">
        <f t="shared" si="6"/>
        <v/>
      </c>
      <c r="T85" s="51" t="str">
        <f t="shared" si="7"/>
        <v/>
      </c>
      <c r="U85" s="50" t="str">
        <f t="shared" si="8"/>
        <v/>
      </c>
      <c r="V85" s="58" t="str">
        <f>IF('2027'!$G$89="","",'2027'!$G$89)</f>
        <v/>
      </c>
      <c r="W85" s="58"/>
      <c r="X85" s="51" t="str">
        <f t="shared" si="9"/>
        <v/>
      </c>
      <c r="Y85" s="51" t="str">
        <f t="shared" si="10"/>
        <v/>
      </c>
      <c r="Z85" s="80" t="str">
        <f t="shared" si="11"/>
        <v/>
      </c>
      <c r="AA85" s="60"/>
      <c r="AB85" s="51" t="str">
        <f t="shared" si="12"/>
        <v/>
      </c>
      <c r="AC85" s="58" t="str">
        <f t="shared" si="13"/>
        <v/>
      </c>
      <c r="AD85" s="80" t="str">
        <f>IF('2027'!$M$89="","",'2027'!$M$89)</f>
        <v/>
      </c>
      <c r="AE85" s="49" t="str">
        <f>IF('2027'!$N$89="","",'2027'!$N$89)</f>
        <v/>
      </c>
      <c r="AF85" s="80">
        <f>IF('2027'!$O$89="","",'2027'!$O$89)</f>
        <v>0</v>
      </c>
      <c r="AG85" s="86"/>
      <c r="AH85" s="86"/>
      <c r="AI85" s="80" t="str">
        <f>IF('2027'!$Q$89="","",'2027'!$Q$89)</f>
        <v/>
      </c>
      <c r="AJ85" s="80" t="str">
        <f t="shared" si="14"/>
        <v/>
      </c>
      <c r="AK85" s="80" t="str">
        <f t="shared" si="15"/>
        <v/>
      </c>
      <c r="AL85" s="80">
        <f>IF('2027'!$R$89="","",'2027'!$R$89)</f>
        <v>0</v>
      </c>
      <c r="AM85" s="89">
        <f t="shared" ref="AM85:AN85" si="122">IFERROR(AI85-AJ85,0)</f>
        <v>0</v>
      </c>
      <c r="AN85" s="89">
        <f t="shared" si="122"/>
        <v>0</v>
      </c>
      <c r="AO85" s="91">
        <f>IF('2027'!$S$89="","",'2027'!$S$89)</f>
        <v>0</v>
      </c>
      <c r="AP85" s="92">
        <f t="shared" si="17"/>
        <v>0</v>
      </c>
      <c r="AQ85" s="86" t="str">
        <f t="shared" si="18"/>
        <v/>
      </c>
      <c r="AR85" s="80" t="str">
        <f>IF('2027'!$T$89="","",'2027'!$T$89)</f>
        <v/>
      </c>
      <c r="AS85" s="80">
        <f>IF('2027'!$U$89="","",'2027'!$U$89)</f>
        <v>0</v>
      </c>
      <c r="AT85" s="86" t="str">
        <f t="shared" si="19"/>
        <v/>
      </c>
      <c r="AU85" s="86"/>
      <c r="AV85" s="96" t="str">
        <f t="shared" si="20"/>
        <v/>
      </c>
      <c r="AW85" s="97" t="str">
        <f t="shared" si="21"/>
        <v/>
      </c>
      <c r="AX85" s="97" t="str">
        <f t="shared" si="22"/>
        <v/>
      </c>
      <c r="AY85" s="60" t="str">
        <f t="shared" si="23"/>
        <v/>
      </c>
      <c r="AZ85" s="97" t="str">
        <f t="shared" si="24"/>
        <v/>
      </c>
      <c r="BA85" s="49" t="str">
        <f t="shared" si="25"/>
        <v/>
      </c>
      <c r="BB85" s="80" t="str">
        <f t="shared" si="26"/>
        <v/>
      </c>
      <c r="BC85" s="80" t="str">
        <f t="shared" si="27"/>
        <v/>
      </c>
      <c r="BD85" s="89">
        <f t="shared" si="28"/>
        <v>0</v>
      </c>
      <c r="BE85" s="60" t="str">
        <f t="shared" si="29"/>
        <v/>
      </c>
      <c r="BF85" s="102" t="str">
        <f t="shared" si="30"/>
        <v/>
      </c>
      <c r="BG85" s="103">
        <f t="shared" si="31"/>
        <v>-46258</v>
      </c>
      <c r="BH85" s="104" t="str">
        <f t="shared" si="32"/>
        <v/>
      </c>
      <c r="BI85" s="104" t="str">
        <f t="shared" si="33"/>
        <v/>
      </c>
      <c r="BJ85" s="104" t="str">
        <f t="shared" si="34"/>
        <v/>
      </c>
      <c r="BK85" s="104" t="str">
        <f t="shared" si="35"/>
        <v/>
      </c>
      <c r="BL85" s="104" t="str">
        <f t="shared" si="36"/>
        <v/>
      </c>
      <c r="BM85" s="57" t="str">
        <f>IF('2027'!$V$89="","",'2027'!$V$89)</f>
        <v/>
      </c>
      <c r="BN85" s="80" t="str">
        <f t="shared" si="37"/>
        <v/>
      </c>
      <c r="BO85" s="80" t="str">
        <f t="shared" si="38"/>
        <v/>
      </c>
      <c r="BP85" s="80" t="str">
        <f t="shared" si="39"/>
        <v/>
      </c>
      <c r="BQ85" s="80" t="str">
        <f t="shared" si="40"/>
        <v/>
      </c>
      <c r="BR85" s="80" t="str">
        <f t="shared" si="41"/>
        <v/>
      </c>
      <c r="BS85" s="116" t="str">
        <f t="shared" si="42"/>
        <v/>
      </c>
    </row>
    <row r="86" ht="15.0" customHeight="1">
      <c r="A86" s="49" t="str">
        <f>IF('2027'!$E$90="","",'2027'!$E$90)</f>
        <v/>
      </c>
      <c r="B86" s="50"/>
      <c r="C86" s="51" t="str">
        <f>IF('2027'!$B$90="","",'2027'!$B$90)</f>
        <v/>
      </c>
      <c r="D86" s="51" t="str">
        <f>IF('2027'!$C$90="","",'2027'!$C$90)</f>
        <v/>
      </c>
      <c r="E86" s="51" t="str">
        <f>IF('2027'!$D$90="","",'2027'!$D$90)</f>
        <v/>
      </c>
      <c r="F86" s="51" t="str">
        <f>IF('2027'!$E$90="","",'2027'!$E$90)</f>
        <v/>
      </c>
      <c r="G86" s="51" t="str">
        <f>IF('2027'!$F$90="","",'2027'!$F$90)</f>
        <v/>
      </c>
      <c r="H86" s="57" t="str">
        <f>IF('2027'!$H$90="","",'2027'!$H$90)</f>
        <v/>
      </c>
      <c r="I86" s="58"/>
      <c r="J86" s="51" t="str">
        <f>IF('2027'!$I$90="","",'2027'!$I$90)</f>
        <v/>
      </c>
      <c r="K86" s="51" t="str">
        <f t="shared" si="2"/>
        <v/>
      </c>
      <c r="L86" s="51" t="str">
        <f>IF('2027'!$J$90="","",'2027'!$J$90)</f>
        <v/>
      </c>
      <c r="M86" s="60" t="str">
        <f>IF('2027'!$K$90="","",'2027'!$K$90)</f>
        <v/>
      </c>
      <c r="N86" s="60" t="str">
        <f>IF('2027'!$L$90="","",'2027'!$L$90)</f>
        <v/>
      </c>
      <c r="O86" s="58" t="str">
        <f t="shared" si="3"/>
        <v/>
      </c>
      <c r="P86" s="58"/>
      <c r="Q86" s="51" t="str">
        <f t="shared" si="4"/>
        <v/>
      </c>
      <c r="R86" s="51" t="str">
        <f t="shared" si="5"/>
        <v/>
      </c>
      <c r="S86" s="58" t="str">
        <f t="shared" si="6"/>
        <v/>
      </c>
      <c r="T86" s="51" t="str">
        <f t="shared" si="7"/>
        <v/>
      </c>
      <c r="U86" s="50" t="str">
        <f t="shared" si="8"/>
        <v/>
      </c>
      <c r="V86" s="58" t="str">
        <f>IF('2027'!$G$90="","",'2027'!$G$90)</f>
        <v/>
      </c>
      <c r="W86" s="58"/>
      <c r="X86" s="51" t="str">
        <f t="shared" si="9"/>
        <v/>
      </c>
      <c r="Y86" s="51" t="str">
        <f t="shared" si="10"/>
        <v/>
      </c>
      <c r="Z86" s="80" t="str">
        <f t="shared" si="11"/>
        <v/>
      </c>
      <c r="AA86" s="60"/>
      <c r="AB86" s="51" t="str">
        <f t="shared" si="12"/>
        <v/>
      </c>
      <c r="AC86" s="58" t="str">
        <f t="shared" si="13"/>
        <v/>
      </c>
      <c r="AD86" s="80" t="str">
        <f>IF('2027'!$M$90="","",'2027'!$M$90)</f>
        <v/>
      </c>
      <c r="AE86" s="49" t="str">
        <f>IF('2027'!$N$90="","",'2027'!$N$90)</f>
        <v/>
      </c>
      <c r="AF86" s="80">
        <f>IF('2027'!$O$90="","",'2027'!$O$90)</f>
        <v>0</v>
      </c>
      <c r="AG86" s="86"/>
      <c r="AH86" s="86"/>
      <c r="AI86" s="80" t="str">
        <f>IF('2027'!$Q$90="","",'2027'!$Q$90)</f>
        <v/>
      </c>
      <c r="AJ86" s="80" t="str">
        <f t="shared" si="14"/>
        <v/>
      </c>
      <c r="AK86" s="80" t="str">
        <f t="shared" si="15"/>
        <v/>
      </c>
      <c r="AL86" s="80">
        <f>IF('2027'!$R$90="","",'2027'!$R$90)</f>
        <v>0</v>
      </c>
      <c r="AM86" s="89">
        <f t="shared" ref="AM86:AN86" si="123">IFERROR(AI86-AJ86,0)</f>
        <v>0</v>
      </c>
      <c r="AN86" s="89">
        <f t="shared" si="123"/>
        <v>0</v>
      </c>
      <c r="AO86" s="91">
        <f>IF('2027'!$S$90="","",'2027'!$S$90)</f>
        <v>0</v>
      </c>
      <c r="AP86" s="92">
        <f t="shared" si="17"/>
        <v>0</v>
      </c>
      <c r="AQ86" s="86" t="str">
        <f t="shared" si="18"/>
        <v/>
      </c>
      <c r="AR86" s="80" t="str">
        <f>IF('2027'!$T$90="","",'2027'!$T$90)</f>
        <v/>
      </c>
      <c r="AS86" s="80">
        <f>IF('2027'!$U$90="","",'2027'!$U$90)</f>
        <v>0</v>
      </c>
      <c r="AT86" s="86" t="str">
        <f t="shared" si="19"/>
        <v/>
      </c>
      <c r="AU86" s="86"/>
      <c r="AV86" s="96" t="str">
        <f t="shared" si="20"/>
        <v/>
      </c>
      <c r="AW86" s="97" t="str">
        <f t="shared" si="21"/>
        <v/>
      </c>
      <c r="AX86" s="97" t="str">
        <f t="shared" si="22"/>
        <v/>
      </c>
      <c r="AY86" s="60" t="str">
        <f t="shared" si="23"/>
        <v/>
      </c>
      <c r="AZ86" s="97" t="str">
        <f t="shared" si="24"/>
        <v/>
      </c>
      <c r="BA86" s="49" t="str">
        <f t="shared" si="25"/>
        <v/>
      </c>
      <c r="BB86" s="80" t="str">
        <f t="shared" si="26"/>
        <v/>
      </c>
      <c r="BC86" s="80" t="str">
        <f t="shared" si="27"/>
        <v/>
      </c>
      <c r="BD86" s="89">
        <f t="shared" si="28"/>
        <v>0</v>
      </c>
      <c r="BE86" s="60" t="str">
        <f t="shared" si="29"/>
        <v/>
      </c>
      <c r="BF86" s="102" t="str">
        <f t="shared" si="30"/>
        <v/>
      </c>
      <c r="BG86" s="103">
        <f t="shared" si="31"/>
        <v>-46258</v>
      </c>
      <c r="BH86" s="104" t="str">
        <f t="shared" si="32"/>
        <v/>
      </c>
      <c r="BI86" s="104" t="str">
        <f t="shared" si="33"/>
        <v/>
      </c>
      <c r="BJ86" s="104" t="str">
        <f t="shared" si="34"/>
        <v/>
      </c>
      <c r="BK86" s="104" t="str">
        <f t="shared" si="35"/>
        <v/>
      </c>
      <c r="BL86" s="104" t="str">
        <f t="shared" si="36"/>
        <v/>
      </c>
      <c r="BM86" s="57" t="str">
        <f>IF('2027'!$V$90="","",'2027'!$V$90)</f>
        <v/>
      </c>
      <c r="BN86" s="80" t="str">
        <f t="shared" si="37"/>
        <v/>
      </c>
      <c r="BO86" s="80" t="str">
        <f t="shared" si="38"/>
        <v/>
      </c>
      <c r="BP86" s="80" t="str">
        <f t="shared" si="39"/>
        <v/>
      </c>
      <c r="BQ86" s="80" t="str">
        <f t="shared" si="40"/>
        <v/>
      </c>
      <c r="BR86" s="80" t="str">
        <f t="shared" si="41"/>
        <v/>
      </c>
      <c r="BS86" s="116" t="str">
        <f t="shared" si="42"/>
        <v/>
      </c>
    </row>
    <row r="87" ht="15.0" customHeight="1">
      <c r="A87" s="49" t="str">
        <f>IF('2027'!$E$91="","",'2027'!$E$91)</f>
        <v/>
      </c>
      <c r="B87" s="50"/>
      <c r="C87" s="51" t="str">
        <f>IF('2027'!$B$91="","",'2027'!$B$91)</f>
        <v/>
      </c>
      <c r="D87" s="51" t="str">
        <f>IF('2027'!$C$91="","",'2027'!$C$91)</f>
        <v/>
      </c>
      <c r="E87" s="51" t="str">
        <f>IF('2027'!$D$91="","",'2027'!$D$91)</f>
        <v/>
      </c>
      <c r="F87" s="51" t="str">
        <f>IF('2027'!$E$91="","",'2027'!$E$91)</f>
        <v/>
      </c>
      <c r="G87" s="51" t="str">
        <f>IF('2027'!$F$91="","",'2027'!$F$91)</f>
        <v/>
      </c>
      <c r="H87" s="57" t="str">
        <f>IF('2027'!$H$91="","",'2027'!$H$91)</f>
        <v/>
      </c>
      <c r="I87" s="58"/>
      <c r="J87" s="51" t="str">
        <f>IF('2027'!$I$91="","",'2027'!$I$91)</f>
        <v/>
      </c>
      <c r="K87" s="51" t="str">
        <f t="shared" si="2"/>
        <v/>
      </c>
      <c r="L87" s="51" t="str">
        <f>IF('2027'!$J$91="","",'2027'!$J$91)</f>
        <v/>
      </c>
      <c r="M87" s="60" t="str">
        <f>IF('2027'!$K$91="","",'2027'!$K$91)</f>
        <v/>
      </c>
      <c r="N87" s="60" t="str">
        <f>IF('2027'!$L$91="","",'2027'!$L$91)</f>
        <v/>
      </c>
      <c r="O87" s="58" t="str">
        <f t="shared" si="3"/>
        <v/>
      </c>
      <c r="P87" s="58"/>
      <c r="Q87" s="51" t="str">
        <f t="shared" si="4"/>
        <v/>
      </c>
      <c r="R87" s="51" t="str">
        <f t="shared" si="5"/>
        <v/>
      </c>
      <c r="S87" s="58" t="str">
        <f t="shared" si="6"/>
        <v/>
      </c>
      <c r="T87" s="51" t="str">
        <f t="shared" si="7"/>
        <v/>
      </c>
      <c r="U87" s="50" t="str">
        <f t="shared" si="8"/>
        <v/>
      </c>
      <c r="V87" s="58" t="str">
        <f>IF('2027'!$G$91="","",'2027'!$G$91)</f>
        <v/>
      </c>
      <c r="W87" s="58"/>
      <c r="X87" s="51" t="str">
        <f t="shared" si="9"/>
        <v/>
      </c>
      <c r="Y87" s="51" t="str">
        <f t="shared" si="10"/>
        <v/>
      </c>
      <c r="Z87" s="80" t="str">
        <f t="shared" si="11"/>
        <v/>
      </c>
      <c r="AA87" s="60"/>
      <c r="AB87" s="51" t="str">
        <f t="shared" si="12"/>
        <v/>
      </c>
      <c r="AC87" s="58" t="str">
        <f t="shared" si="13"/>
        <v/>
      </c>
      <c r="AD87" s="80" t="str">
        <f>IF('2027'!$M$91="","",'2027'!$M$91)</f>
        <v/>
      </c>
      <c r="AE87" s="49" t="str">
        <f>IF('2027'!$N$91="","",'2027'!$N$91)</f>
        <v/>
      </c>
      <c r="AF87" s="80">
        <f>IF('2027'!$O$91="","",'2027'!$O$91)</f>
        <v>0</v>
      </c>
      <c r="AG87" s="86"/>
      <c r="AH87" s="86"/>
      <c r="AI87" s="80" t="str">
        <f>IF('2027'!$Q$91="","",'2027'!$Q$91)</f>
        <v/>
      </c>
      <c r="AJ87" s="80" t="str">
        <f t="shared" si="14"/>
        <v/>
      </c>
      <c r="AK87" s="80" t="str">
        <f t="shared" si="15"/>
        <v/>
      </c>
      <c r="AL87" s="80">
        <f>IF('2027'!$R$91="","",'2027'!$R$91)</f>
        <v>0</v>
      </c>
      <c r="AM87" s="89">
        <f t="shared" ref="AM87:AN87" si="124">IFERROR(AI87-AJ87,0)</f>
        <v>0</v>
      </c>
      <c r="AN87" s="89">
        <f t="shared" si="124"/>
        <v>0</v>
      </c>
      <c r="AO87" s="91">
        <f>IF('2027'!$S$91="","",'2027'!$S$91)</f>
        <v>0</v>
      </c>
      <c r="AP87" s="92">
        <f t="shared" si="17"/>
        <v>0</v>
      </c>
      <c r="AQ87" s="86" t="str">
        <f t="shared" si="18"/>
        <v/>
      </c>
      <c r="AR87" s="80" t="str">
        <f>IF('2027'!$T$91="","",'2027'!$T$91)</f>
        <v/>
      </c>
      <c r="AS87" s="80">
        <f>IF('2027'!$U$91="","",'2027'!$U$91)</f>
        <v>0</v>
      </c>
      <c r="AT87" s="86" t="str">
        <f t="shared" si="19"/>
        <v/>
      </c>
      <c r="AU87" s="86"/>
      <c r="AV87" s="96" t="str">
        <f t="shared" si="20"/>
        <v/>
      </c>
      <c r="AW87" s="97" t="str">
        <f t="shared" si="21"/>
        <v/>
      </c>
      <c r="AX87" s="97" t="str">
        <f t="shared" si="22"/>
        <v/>
      </c>
      <c r="AY87" s="60" t="str">
        <f t="shared" si="23"/>
        <v/>
      </c>
      <c r="AZ87" s="97" t="str">
        <f t="shared" si="24"/>
        <v/>
      </c>
      <c r="BA87" s="49" t="str">
        <f t="shared" si="25"/>
        <v/>
      </c>
      <c r="BB87" s="80" t="str">
        <f t="shared" si="26"/>
        <v/>
      </c>
      <c r="BC87" s="80" t="str">
        <f t="shared" si="27"/>
        <v/>
      </c>
      <c r="BD87" s="89">
        <f t="shared" si="28"/>
        <v>0</v>
      </c>
      <c r="BE87" s="60" t="str">
        <f t="shared" si="29"/>
        <v/>
      </c>
      <c r="BF87" s="102" t="str">
        <f t="shared" si="30"/>
        <v/>
      </c>
      <c r="BG87" s="103">
        <f t="shared" si="31"/>
        <v>-46258</v>
      </c>
      <c r="BH87" s="104" t="str">
        <f t="shared" si="32"/>
        <v/>
      </c>
      <c r="BI87" s="104" t="str">
        <f t="shared" si="33"/>
        <v/>
      </c>
      <c r="BJ87" s="104" t="str">
        <f t="shared" si="34"/>
        <v/>
      </c>
      <c r="BK87" s="104" t="str">
        <f t="shared" si="35"/>
        <v/>
      </c>
      <c r="BL87" s="104" t="str">
        <f t="shared" si="36"/>
        <v/>
      </c>
      <c r="BM87" s="57" t="str">
        <f>IF('2027'!$V$91="","",'2027'!$V$91)</f>
        <v/>
      </c>
      <c r="BN87" s="80" t="str">
        <f t="shared" si="37"/>
        <v/>
      </c>
      <c r="BO87" s="80" t="str">
        <f t="shared" si="38"/>
        <v/>
      </c>
      <c r="BP87" s="80" t="str">
        <f t="shared" si="39"/>
        <v/>
      </c>
      <c r="BQ87" s="80" t="str">
        <f t="shared" si="40"/>
        <v/>
      </c>
      <c r="BR87" s="80" t="str">
        <f t="shared" si="41"/>
        <v/>
      </c>
      <c r="BS87" s="116" t="str">
        <f t="shared" si="42"/>
        <v/>
      </c>
    </row>
    <row r="88" ht="15.0" customHeight="1">
      <c r="A88" s="49" t="str">
        <f>IF('2027'!$E$92="","",'2027'!$E$92)</f>
        <v/>
      </c>
      <c r="B88" s="50"/>
      <c r="C88" s="51" t="str">
        <f>IF('2027'!$B$92="","",'2027'!$B$92)</f>
        <v/>
      </c>
      <c r="D88" s="51" t="str">
        <f>IF('2027'!$C$92="","",'2027'!$C$92)</f>
        <v/>
      </c>
      <c r="E88" s="51" t="str">
        <f>IF('2027'!$D$92="","",'2027'!$D$92)</f>
        <v/>
      </c>
      <c r="F88" s="51" t="str">
        <f>IF('2027'!$E$92="","",'2027'!$E$92)</f>
        <v/>
      </c>
      <c r="G88" s="51" t="str">
        <f>IF('2027'!$F$92="","",'2027'!$F$92)</f>
        <v/>
      </c>
      <c r="H88" s="57" t="str">
        <f>IF('2027'!$H$92="","",'2027'!$H$92)</f>
        <v/>
      </c>
      <c r="I88" s="58"/>
      <c r="J88" s="51" t="str">
        <f>IF('2027'!$I$92="","",'2027'!$I$92)</f>
        <v/>
      </c>
      <c r="K88" s="51" t="str">
        <f t="shared" si="2"/>
        <v/>
      </c>
      <c r="L88" s="51" t="str">
        <f>IF('2027'!$J$92="","",'2027'!$J$92)</f>
        <v/>
      </c>
      <c r="M88" s="60" t="str">
        <f>IF('2027'!$K$92="","",'2027'!$K$92)</f>
        <v/>
      </c>
      <c r="N88" s="60" t="str">
        <f>IF('2027'!$L$92="","",'2027'!$L$92)</f>
        <v/>
      </c>
      <c r="O88" s="58" t="str">
        <f t="shared" si="3"/>
        <v/>
      </c>
      <c r="P88" s="58"/>
      <c r="Q88" s="51" t="str">
        <f t="shared" si="4"/>
        <v/>
      </c>
      <c r="R88" s="51" t="str">
        <f t="shared" si="5"/>
        <v/>
      </c>
      <c r="S88" s="58" t="str">
        <f t="shared" si="6"/>
        <v/>
      </c>
      <c r="T88" s="51" t="str">
        <f t="shared" si="7"/>
        <v/>
      </c>
      <c r="U88" s="50" t="str">
        <f t="shared" si="8"/>
        <v/>
      </c>
      <c r="V88" s="58" t="str">
        <f>IF('2027'!$G$92="","",'2027'!$G$92)</f>
        <v/>
      </c>
      <c r="W88" s="58"/>
      <c r="X88" s="51" t="str">
        <f t="shared" si="9"/>
        <v/>
      </c>
      <c r="Y88" s="51" t="str">
        <f t="shared" si="10"/>
        <v/>
      </c>
      <c r="Z88" s="80" t="str">
        <f t="shared" si="11"/>
        <v/>
      </c>
      <c r="AA88" s="60"/>
      <c r="AB88" s="51" t="str">
        <f t="shared" si="12"/>
        <v/>
      </c>
      <c r="AC88" s="58" t="str">
        <f t="shared" si="13"/>
        <v/>
      </c>
      <c r="AD88" s="80" t="str">
        <f>IF('2027'!$M$92="","",'2027'!$M$92)</f>
        <v/>
      </c>
      <c r="AE88" s="49" t="str">
        <f>IF('2027'!$N$92="","",'2027'!$N$92)</f>
        <v/>
      </c>
      <c r="AF88" s="80">
        <f>IF('2027'!$O$92="","",'2027'!$O$92)</f>
        <v>0</v>
      </c>
      <c r="AG88" s="86"/>
      <c r="AH88" s="86"/>
      <c r="AI88" s="80" t="str">
        <f>IF('2027'!$Q$92="","",'2027'!$Q$92)</f>
        <v/>
      </c>
      <c r="AJ88" s="80" t="str">
        <f t="shared" si="14"/>
        <v/>
      </c>
      <c r="AK88" s="80" t="str">
        <f t="shared" si="15"/>
        <v/>
      </c>
      <c r="AL88" s="80">
        <f>IF('2027'!$R$92="","",'2027'!$R$92)</f>
        <v>0</v>
      </c>
      <c r="AM88" s="89">
        <f t="shared" ref="AM88:AN88" si="125">IFERROR(AI88-AJ88,0)</f>
        <v>0</v>
      </c>
      <c r="AN88" s="89">
        <f t="shared" si="125"/>
        <v>0</v>
      </c>
      <c r="AO88" s="91">
        <f>IF('2027'!$S$92="","",'2027'!$S$92)</f>
        <v>0</v>
      </c>
      <c r="AP88" s="92">
        <f t="shared" si="17"/>
        <v>0</v>
      </c>
      <c r="AQ88" s="86" t="str">
        <f t="shared" si="18"/>
        <v/>
      </c>
      <c r="AR88" s="80" t="str">
        <f>IF('2027'!$T$92="","",'2027'!$T$92)</f>
        <v/>
      </c>
      <c r="AS88" s="80">
        <f>IF('2027'!$U$92="","",'2027'!$U$92)</f>
        <v>0</v>
      </c>
      <c r="AT88" s="86" t="str">
        <f t="shared" si="19"/>
        <v/>
      </c>
      <c r="AU88" s="86"/>
      <c r="AV88" s="96" t="str">
        <f t="shared" si="20"/>
        <v/>
      </c>
      <c r="AW88" s="97" t="str">
        <f t="shared" si="21"/>
        <v/>
      </c>
      <c r="AX88" s="97" t="str">
        <f t="shared" si="22"/>
        <v/>
      </c>
      <c r="AY88" s="60" t="str">
        <f t="shared" si="23"/>
        <v/>
      </c>
      <c r="AZ88" s="97" t="str">
        <f t="shared" si="24"/>
        <v/>
      </c>
      <c r="BA88" s="49" t="str">
        <f t="shared" si="25"/>
        <v/>
      </c>
      <c r="BB88" s="80" t="str">
        <f t="shared" si="26"/>
        <v/>
      </c>
      <c r="BC88" s="80" t="str">
        <f t="shared" si="27"/>
        <v/>
      </c>
      <c r="BD88" s="89">
        <f t="shared" si="28"/>
        <v>0</v>
      </c>
      <c r="BE88" s="60" t="str">
        <f t="shared" si="29"/>
        <v/>
      </c>
      <c r="BF88" s="102" t="str">
        <f t="shared" si="30"/>
        <v/>
      </c>
      <c r="BG88" s="103">
        <f t="shared" si="31"/>
        <v>-46258</v>
      </c>
      <c r="BH88" s="104" t="str">
        <f t="shared" si="32"/>
        <v/>
      </c>
      <c r="BI88" s="104" t="str">
        <f t="shared" si="33"/>
        <v/>
      </c>
      <c r="BJ88" s="104" t="str">
        <f t="shared" si="34"/>
        <v/>
      </c>
      <c r="BK88" s="104" t="str">
        <f t="shared" si="35"/>
        <v/>
      </c>
      <c r="BL88" s="104" t="str">
        <f t="shared" si="36"/>
        <v/>
      </c>
      <c r="BM88" s="57" t="str">
        <f>IF('2027'!$V$92="","",'2027'!$V$92)</f>
        <v/>
      </c>
      <c r="BN88" s="80" t="str">
        <f t="shared" si="37"/>
        <v/>
      </c>
      <c r="BO88" s="80" t="str">
        <f t="shared" si="38"/>
        <v/>
      </c>
      <c r="BP88" s="80" t="str">
        <f t="shared" si="39"/>
        <v/>
      </c>
      <c r="BQ88" s="80" t="str">
        <f t="shared" si="40"/>
        <v/>
      </c>
      <c r="BR88" s="80" t="str">
        <f t="shared" si="41"/>
        <v/>
      </c>
      <c r="BS88" s="116" t="str">
        <f t="shared" si="42"/>
        <v/>
      </c>
    </row>
    <row r="89" ht="15.0" customHeight="1">
      <c r="A89" s="49" t="str">
        <f>IF('2027'!$E$93="","",'2027'!$E$93)</f>
        <v/>
      </c>
      <c r="B89" s="50"/>
      <c r="C89" s="51" t="str">
        <f>IF('2027'!$B$93="","",'2027'!$B$93)</f>
        <v/>
      </c>
      <c r="D89" s="51" t="str">
        <f>IF('2027'!$C$93="","",'2027'!$C$93)</f>
        <v/>
      </c>
      <c r="E89" s="51" t="str">
        <f>IF('2027'!$D$93="","",'2027'!$D$93)</f>
        <v/>
      </c>
      <c r="F89" s="51" t="str">
        <f>IF('2027'!$E$93="","",'2027'!$E$93)</f>
        <v/>
      </c>
      <c r="G89" s="51" t="str">
        <f>IF('2027'!$F$93="","",'2027'!$F$93)</f>
        <v/>
      </c>
      <c r="H89" s="57" t="str">
        <f>IF('2027'!$H$93="","",'2027'!$H$93)</f>
        <v/>
      </c>
      <c r="I89" s="58"/>
      <c r="J89" s="51" t="str">
        <f>IF('2027'!$I$93="","",'2027'!$I$93)</f>
        <v/>
      </c>
      <c r="K89" s="51" t="str">
        <f t="shared" si="2"/>
        <v/>
      </c>
      <c r="L89" s="51" t="str">
        <f>IF('2027'!$J$93="","",'2027'!$J$93)</f>
        <v/>
      </c>
      <c r="M89" s="60" t="str">
        <f>IF('2027'!$K$93="","",'2027'!$K$93)</f>
        <v/>
      </c>
      <c r="N89" s="60" t="str">
        <f>IF('2027'!$L$93="","",'2027'!$L$93)</f>
        <v/>
      </c>
      <c r="O89" s="58" t="str">
        <f t="shared" si="3"/>
        <v/>
      </c>
      <c r="P89" s="58"/>
      <c r="Q89" s="51" t="str">
        <f t="shared" si="4"/>
        <v/>
      </c>
      <c r="R89" s="51" t="str">
        <f t="shared" si="5"/>
        <v/>
      </c>
      <c r="S89" s="58" t="str">
        <f t="shared" si="6"/>
        <v/>
      </c>
      <c r="T89" s="51" t="str">
        <f t="shared" si="7"/>
        <v/>
      </c>
      <c r="U89" s="50" t="str">
        <f t="shared" si="8"/>
        <v/>
      </c>
      <c r="V89" s="58" t="str">
        <f>IF('2027'!$G$93="","",'2027'!$G$93)</f>
        <v/>
      </c>
      <c r="W89" s="58"/>
      <c r="X89" s="51" t="str">
        <f t="shared" si="9"/>
        <v/>
      </c>
      <c r="Y89" s="51" t="str">
        <f t="shared" si="10"/>
        <v/>
      </c>
      <c r="Z89" s="80" t="str">
        <f t="shared" si="11"/>
        <v/>
      </c>
      <c r="AA89" s="60"/>
      <c r="AB89" s="51" t="str">
        <f t="shared" si="12"/>
        <v/>
      </c>
      <c r="AC89" s="58" t="str">
        <f t="shared" si="13"/>
        <v/>
      </c>
      <c r="AD89" s="80" t="str">
        <f>IF('2027'!$M$93="","",'2027'!$M$93)</f>
        <v/>
      </c>
      <c r="AE89" s="49" t="str">
        <f>IF('2027'!$N$93="","",'2027'!$N$93)</f>
        <v/>
      </c>
      <c r="AF89" s="80">
        <f>IF('2027'!$O$93="","",'2027'!$O$93)</f>
        <v>0</v>
      </c>
      <c r="AG89" s="86"/>
      <c r="AH89" s="86"/>
      <c r="AI89" s="80" t="str">
        <f>IF('2027'!$Q$93="","",'2027'!$Q$93)</f>
        <v/>
      </c>
      <c r="AJ89" s="80" t="str">
        <f t="shared" si="14"/>
        <v/>
      </c>
      <c r="AK89" s="80" t="str">
        <f t="shared" si="15"/>
        <v/>
      </c>
      <c r="AL89" s="80">
        <f>IF('2027'!$R$93="","",'2027'!$R$93)</f>
        <v>0</v>
      </c>
      <c r="AM89" s="89">
        <f t="shared" ref="AM89:AN89" si="126">IFERROR(AI89-AJ89,0)</f>
        <v>0</v>
      </c>
      <c r="AN89" s="89">
        <f t="shared" si="126"/>
        <v>0</v>
      </c>
      <c r="AO89" s="91">
        <f>IF('2027'!$S$93="","",'2027'!$S$93)</f>
        <v>0</v>
      </c>
      <c r="AP89" s="92">
        <f t="shared" si="17"/>
        <v>0</v>
      </c>
      <c r="AQ89" s="86" t="str">
        <f t="shared" si="18"/>
        <v/>
      </c>
      <c r="AR89" s="80" t="str">
        <f>IF('2027'!$T$93="","",'2027'!$T$93)</f>
        <v/>
      </c>
      <c r="AS89" s="80">
        <f>IF('2027'!$U$93="","",'2027'!$U$93)</f>
        <v>0</v>
      </c>
      <c r="AT89" s="86" t="str">
        <f t="shared" si="19"/>
        <v/>
      </c>
      <c r="AU89" s="86"/>
      <c r="AV89" s="96" t="str">
        <f t="shared" si="20"/>
        <v/>
      </c>
      <c r="AW89" s="97" t="str">
        <f t="shared" si="21"/>
        <v/>
      </c>
      <c r="AX89" s="97" t="str">
        <f t="shared" si="22"/>
        <v/>
      </c>
      <c r="AY89" s="60" t="str">
        <f t="shared" si="23"/>
        <v/>
      </c>
      <c r="AZ89" s="97" t="str">
        <f t="shared" si="24"/>
        <v/>
      </c>
      <c r="BA89" s="49" t="str">
        <f t="shared" si="25"/>
        <v/>
      </c>
      <c r="BB89" s="80" t="str">
        <f t="shared" si="26"/>
        <v/>
      </c>
      <c r="BC89" s="80" t="str">
        <f t="shared" si="27"/>
        <v/>
      </c>
      <c r="BD89" s="89">
        <f t="shared" si="28"/>
        <v>0</v>
      </c>
      <c r="BE89" s="60" t="str">
        <f t="shared" si="29"/>
        <v/>
      </c>
      <c r="BF89" s="102" t="str">
        <f t="shared" si="30"/>
        <v/>
      </c>
      <c r="BG89" s="103">
        <f t="shared" si="31"/>
        <v>-46258</v>
      </c>
      <c r="BH89" s="104" t="str">
        <f t="shared" si="32"/>
        <v/>
      </c>
      <c r="BI89" s="104" t="str">
        <f t="shared" si="33"/>
        <v/>
      </c>
      <c r="BJ89" s="104" t="str">
        <f t="shared" si="34"/>
        <v/>
      </c>
      <c r="BK89" s="104" t="str">
        <f t="shared" si="35"/>
        <v/>
      </c>
      <c r="BL89" s="104" t="str">
        <f t="shared" si="36"/>
        <v/>
      </c>
      <c r="BM89" s="57" t="str">
        <f>IF('2027'!$V$93="","",'2027'!$V$93)</f>
        <v/>
      </c>
      <c r="BN89" s="80" t="str">
        <f t="shared" si="37"/>
        <v/>
      </c>
      <c r="BO89" s="80" t="str">
        <f t="shared" si="38"/>
        <v/>
      </c>
      <c r="BP89" s="80" t="str">
        <f t="shared" si="39"/>
        <v/>
      </c>
      <c r="BQ89" s="80" t="str">
        <f t="shared" si="40"/>
        <v/>
      </c>
      <c r="BR89" s="80" t="str">
        <f t="shared" si="41"/>
        <v/>
      </c>
      <c r="BS89" s="116" t="str">
        <f t="shared" si="42"/>
        <v/>
      </c>
    </row>
    <row r="90" ht="15.0" customHeight="1">
      <c r="A90" s="49" t="str">
        <f>IF('2027'!$E$94="","",'2027'!$E$94)</f>
        <v/>
      </c>
      <c r="B90" s="50"/>
      <c r="C90" s="51" t="str">
        <f>IF('2027'!$B$94="","",'2027'!$B$94)</f>
        <v/>
      </c>
      <c r="D90" s="51" t="str">
        <f>IF('2027'!$C$94="","",'2027'!$C$94)</f>
        <v/>
      </c>
      <c r="E90" s="51" t="str">
        <f>IF('2027'!$D$94="","",'2027'!$D$94)</f>
        <v/>
      </c>
      <c r="F90" s="51" t="str">
        <f>IF('2027'!$E$94="","",'2027'!$E$94)</f>
        <v/>
      </c>
      <c r="G90" s="51" t="str">
        <f>IF('2027'!$F$94="","",'2027'!$F$94)</f>
        <v/>
      </c>
      <c r="H90" s="57" t="str">
        <f>IF('2027'!$H$94="","",'2027'!$H$94)</f>
        <v/>
      </c>
      <c r="I90" s="58"/>
      <c r="J90" s="51" t="str">
        <f>IF('2027'!$I$94="","",'2027'!$I$94)</f>
        <v/>
      </c>
      <c r="K90" s="51" t="str">
        <f t="shared" si="2"/>
        <v/>
      </c>
      <c r="L90" s="51" t="str">
        <f>IF('2027'!$J$94="","",'2027'!$J$94)</f>
        <v/>
      </c>
      <c r="M90" s="60" t="str">
        <f>IF('2027'!$K$94="","",'2027'!$K$94)</f>
        <v/>
      </c>
      <c r="N90" s="60" t="str">
        <f>IF('2027'!$L$94="","",'2027'!$L$94)</f>
        <v/>
      </c>
      <c r="O90" s="58" t="str">
        <f t="shared" si="3"/>
        <v/>
      </c>
      <c r="P90" s="58"/>
      <c r="Q90" s="51" t="str">
        <f t="shared" si="4"/>
        <v/>
      </c>
      <c r="R90" s="51" t="str">
        <f t="shared" si="5"/>
        <v/>
      </c>
      <c r="S90" s="58" t="str">
        <f t="shared" si="6"/>
        <v/>
      </c>
      <c r="T90" s="51" t="str">
        <f t="shared" si="7"/>
        <v/>
      </c>
      <c r="U90" s="50" t="str">
        <f t="shared" si="8"/>
        <v/>
      </c>
      <c r="V90" s="58" t="str">
        <f>IF('2027'!$G$94="","",'2027'!$G$94)</f>
        <v/>
      </c>
      <c r="W90" s="58"/>
      <c r="X90" s="51" t="str">
        <f t="shared" si="9"/>
        <v/>
      </c>
      <c r="Y90" s="51" t="str">
        <f t="shared" si="10"/>
        <v/>
      </c>
      <c r="Z90" s="80" t="str">
        <f t="shared" si="11"/>
        <v/>
      </c>
      <c r="AA90" s="60"/>
      <c r="AB90" s="51" t="str">
        <f t="shared" si="12"/>
        <v/>
      </c>
      <c r="AC90" s="58" t="str">
        <f t="shared" si="13"/>
        <v/>
      </c>
      <c r="AD90" s="80" t="str">
        <f>IF('2027'!$M$94="","",'2027'!$M$94)</f>
        <v/>
      </c>
      <c r="AE90" s="49" t="str">
        <f>IF('2027'!$N$94="","",'2027'!$N$94)</f>
        <v/>
      </c>
      <c r="AF90" s="80">
        <f>IF('2027'!$O$94="","",'2027'!$O$94)</f>
        <v>0</v>
      </c>
      <c r="AG90" s="86"/>
      <c r="AH90" s="86"/>
      <c r="AI90" s="80" t="str">
        <f>IF('2027'!$Q$94="","",'2027'!$Q$94)</f>
        <v/>
      </c>
      <c r="AJ90" s="80" t="str">
        <f t="shared" si="14"/>
        <v/>
      </c>
      <c r="AK90" s="80" t="str">
        <f t="shared" si="15"/>
        <v/>
      </c>
      <c r="AL90" s="80">
        <f>IF('2027'!$R$94="","",'2027'!$R$94)</f>
        <v>0</v>
      </c>
      <c r="AM90" s="89">
        <f t="shared" ref="AM90:AN90" si="127">IFERROR(AI90-AJ90,0)</f>
        <v>0</v>
      </c>
      <c r="AN90" s="89">
        <f t="shared" si="127"/>
        <v>0</v>
      </c>
      <c r="AO90" s="91">
        <f>IF('2027'!$S$94="","",'2027'!$S$94)</f>
        <v>0</v>
      </c>
      <c r="AP90" s="92">
        <f t="shared" si="17"/>
        <v>0</v>
      </c>
      <c r="AQ90" s="86" t="str">
        <f t="shared" si="18"/>
        <v/>
      </c>
      <c r="AR90" s="80" t="str">
        <f>IF('2027'!$T$94="","",'2027'!$T$94)</f>
        <v/>
      </c>
      <c r="AS90" s="80">
        <f>IF('2027'!$U$94="","",'2027'!$U$94)</f>
        <v>0</v>
      </c>
      <c r="AT90" s="86" t="str">
        <f t="shared" si="19"/>
        <v/>
      </c>
      <c r="AU90" s="86"/>
      <c r="AV90" s="96" t="str">
        <f t="shared" si="20"/>
        <v/>
      </c>
      <c r="AW90" s="97" t="str">
        <f t="shared" si="21"/>
        <v/>
      </c>
      <c r="AX90" s="97" t="str">
        <f t="shared" si="22"/>
        <v/>
      </c>
      <c r="AY90" s="60" t="str">
        <f t="shared" si="23"/>
        <v/>
      </c>
      <c r="AZ90" s="97" t="str">
        <f t="shared" si="24"/>
        <v/>
      </c>
      <c r="BA90" s="49" t="str">
        <f t="shared" si="25"/>
        <v/>
      </c>
      <c r="BB90" s="80" t="str">
        <f t="shared" si="26"/>
        <v/>
      </c>
      <c r="BC90" s="80" t="str">
        <f t="shared" si="27"/>
        <v/>
      </c>
      <c r="BD90" s="89">
        <f t="shared" si="28"/>
        <v>0</v>
      </c>
      <c r="BE90" s="60" t="str">
        <f t="shared" si="29"/>
        <v/>
      </c>
      <c r="BF90" s="102" t="str">
        <f t="shared" si="30"/>
        <v/>
      </c>
      <c r="BG90" s="103">
        <f t="shared" si="31"/>
        <v>-46258</v>
      </c>
      <c r="BH90" s="104" t="str">
        <f t="shared" si="32"/>
        <v/>
      </c>
      <c r="BI90" s="104" t="str">
        <f t="shared" si="33"/>
        <v/>
      </c>
      <c r="BJ90" s="104" t="str">
        <f t="shared" si="34"/>
        <v/>
      </c>
      <c r="BK90" s="104" t="str">
        <f t="shared" si="35"/>
        <v/>
      </c>
      <c r="BL90" s="104" t="str">
        <f t="shared" si="36"/>
        <v/>
      </c>
      <c r="BM90" s="57" t="str">
        <f>IF('2027'!$V$94="","",'2027'!$V$94)</f>
        <v/>
      </c>
      <c r="BN90" s="80" t="str">
        <f t="shared" si="37"/>
        <v/>
      </c>
      <c r="BO90" s="80" t="str">
        <f t="shared" si="38"/>
        <v/>
      </c>
      <c r="BP90" s="80" t="str">
        <f t="shared" si="39"/>
        <v/>
      </c>
      <c r="BQ90" s="80" t="str">
        <f t="shared" si="40"/>
        <v/>
      </c>
      <c r="BR90" s="80" t="str">
        <f t="shared" si="41"/>
        <v/>
      </c>
      <c r="BS90" s="116" t="str">
        <f t="shared" si="42"/>
        <v/>
      </c>
    </row>
    <row r="91" ht="15.0" customHeight="1">
      <c r="A91" s="49" t="str">
        <f>IF('2027'!$E$95="","",'2027'!$E$95)</f>
        <v/>
      </c>
      <c r="B91" s="50"/>
      <c r="C91" s="51" t="str">
        <f>IF('2027'!$B$95="","",'2027'!$B$95)</f>
        <v/>
      </c>
      <c r="D91" s="51" t="str">
        <f>IF('2027'!$C$95="","",'2027'!$C$95)</f>
        <v/>
      </c>
      <c r="E91" s="51" t="str">
        <f>IF('2027'!$D$95="","",'2027'!$D$95)</f>
        <v/>
      </c>
      <c r="F91" s="51" t="str">
        <f>IF('2027'!$E$95="","",'2027'!$E$95)</f>
        <v/>
      </c>
      <c r="G91" s="51" t="str">
        <f>IF('2027'!$F$95="","",'2027'!$F$95)</f>
        <v/>
      </c>
      <c r="H91" s="57" t="str">
        <f>IF('2027'!$H$95="","",'2027'!$H$95)</f>
        <v/>
      </c>
      <c r="I91" s="58"/>
      <c r="J91" s="51" t="str">
        <f>IF('2027'!$I$95="","",'2027'!$I$95)</f>
        <v/>
      </c>
      <c r="K91" s="51" t="str">
        <f t="shared" si="2"/>
        <v/>
      </c>
      <c r="L91" s="51" t="str">
        <f>IF('2027'!$J$95="","",'2027'!$J$95)</f>
        <v/>
      </c>
      <c r="M91" s="60" t="str">
        <f>IF('2027'!$K$95="","",'2027'!$K$95)</f>
        <v/>
      </c>
      <c r="N91" s="60" t="str">
        <f>IF('2027'!$L$95="","",'2027'!$L$95)</f>
        <v/>
      </c>
      <c r="O91" s="58" t="str">
        <f t="shared" si="3"/>
        <v/>
      </c>
      <c r="P91" s="58"/>
      <c r="Q91" s="51" t="str">
        <f t="shared" si="4"/>
        <v/>
      </c>
      <c r="R91" s="51" t="str">
        <f t="shared" si="5"/>
        <v/>
      </c>
      <c r="S91" s="58" t="str">
        <f t="shared" si="6"/>
        <v/>
      </c>
      <c r="T91" s="51" t="str">
        <f t="shared" si="7"/>
        <v/>
      </c>
      <c r="U91" s="50" t="str">
        <f t="shared" si="8"/>
        <v/>
      </c>
      <c r="V91" s="58" t="str">
        <f>IF('2027'!$G$95="","",'2027'!$G$95)</f>
        <v/>
      </c>
      <c r="W91" s="58"/>
      <c r="X91" s="51" t="str">
        <f t="shared" si="9"/>
        <v/>
      </c>
      <c r="Y91" s="51" t="str">
        <f t="shared" si="10"/>
        <v/>
      </c>
      <c r="Z91" s="80" t="str">
        <f t="shared" si="11"/>
        <v/>
      </c>
      <c r="AA91" s="60"/>
      <c r="AB91" s="51" t="str">
        <f t="shared" si="12"/>
        <v/>
      </c>
      <c r="AC91" s="58" t="str">
        <f t="shared" si="13"/>
        <v/>
      </c>
      <c r="AD91" s="80" t="str">
        <f>IF('2027'!$M$95="","",'2027'!$M$95)</f>
        <v/>
      </c>
      <c r="AE91" s="49" t="str">
        <f>IF('2027'!$N$95="","",'2027'!$N$95)</f>
        <v/>
      </c>
      <c r="AF91" s="80">
        <f>IF('2027'!$O$95="","",'2027'!$O$95)</f>
        <v>0</v>
      </c>
      <c r="AG91" s="86"/>
      <c r="AH91" s="86"/>
      <c r="AI91" s="80" t="str">
        <f>IF('2027'!$Q$95="","",'2027'!$Q$95)</f>
        <v/>
      </c>
      <c r="AJ91" s="80" t="str">
        <f t="shared" si="14"/>
        <v/>
      </c>
      <c r="AK91" s="80" t="str">
        <f t="shared" si="15"/>
        <v/>
      </c>
      <c r="AL91" s="80">
        <f>IF('2027'!$R$95="","",'2027'!$R$95)</f>
        <v>0</v>
      </c>
      <c r="AM91" s="89">
        <f t="shared" ref="AM91:AN91" si="128">IFERROR(AI91-AJ91,0)</f>
        <v>0</v>
      </c>
      <c r="AN91" s="89">
        <f t="shared" si="128"/>
        <v>0</v>
      </c>
      <c r="AO91" s="91">
        <f>IF('2027'!$S$95="","",'2027'!$S$95)</f>
        <v>0</v>
      </c>
      <c r="AP91" s="92">
        <f t="shared" si="17"/>
        <v>0</v>
      </c>
      <c r="AQ91" s="86" t="str">
        <f t="shared" si="18"/>
        <v/>
      </c>
      <c r="AR91" s="80" t="str">
        <f>IF('2027'!$T$95="","",'2027'!$T$95)</f>
        <v/>
      </c>
      <c r="AS91" s="80">
        <f>IF('2027'!$U$95="","",'2027'!$U$95)</f>
        <v>0</v>
      </c>
      <c r="AT91" s="86" t="str">
        <f t="shared" si="19"/>
        <v/>
      </c>
      <c r="AU91" s="86"/>
      <c r="AV91" s="96" t="str">
        <f t="shared" si="20"/>
        <v/>
      </c>
      <c r="AW91" s="97" t="str">
        <f t="shared" si="21"/>
        <v/>
      </c>
      <c r="AX91" s="97" t="str">
        <f t="shared" si="22"/>
        <v/>
      </c>
      <c r="AY91" s="60" t="str">
        <f t="shared" si="23"/>
        <v/>
      </c>
      <c r="AZ91" s="97" t="str">
        <f t="shared" si="24"/>
        <v/>
      </c>
      <c r="BA91" s="49" t="str">
        <f t="shared" si="25"/>
        <v/>
      </c>
      <c r="BB91" s="80" t="str">
        <f t="shared" si="26"/>
        <v/>
      </c>
      <c r="BC91" s="80" t="str">
        <f t="shared" si="27"/>
        <v/>
      </c>
      <c r="BD91" s="89">
        <f t="shared" si="28"/>
        <v>0</v>
      </c>
      <c r="BE91" s="60" t="str">
        <f t="shared" si="29"/>
        <v/>
      </c>
      <c r="BF91" s="102" t="str">
        <f t="shared" si="30"/>
        <v/>
      </c>
      <c r="BG91" s="103">
        <f t="shared" si="31"/>
        <v>-46258</v>
      </c>
      <c r="BH91" s="104" t="str">
        <f t="shared" si="32"/>
        <v/>
      </c>
      <c r="BI91" s="104" t="str">
        <f t="shared" si="33"/>
        <v/>
      </c>
      <c r="BJ91" s="104" t="str">
        <f t="shared" si="34"/>
        <v/>
      </c>
      <c r="BK91" s="104" t="str">
        <f t="shared" si="35"/>
        <v/>
      </c>
      <c r="BL91" s="104" t="str">
        <f t="shared" si="36"/>
        <v/>
      </c>
      <c r="BM91" s="57" t="str">
        <f>IF('2027'!$V$95="","",'2027'!$V$95)</f>
        <v/>
      </c>
      <c r="BN91" s="80" t="str">
        <f t="shared" si="37"/>
        <v/>
      </c>
      <c r="BO91" s="80" t="str">
        <f t="shared" si="38"/>
        <v/>
      </c>
      <c r="BP91" s="80" t="str">
        <f t="shared" si="39"/>
        <v/>
      </c>
      <c r="BQ91" s="80" t="str">
        <f t="shared" si="40"/>
        <v/>
      </c>
      <c r="BR91" s="80" t="str">
        <f t="shared" si="41"/>
        <v/>
      </c>
      <c r="BS91" s="116" t="str">
        <f t="shared" si="42"/>
        <v/>
      </c>
    </row>
    <row r="92" ht="15.0" customHeight="1">
      <c r="A92" s="49" t="str">
        <f>IF('2027'!$E$96="","",'2027'!$E$96)</f>
        <v/>
      </c>
      <c r="B92" s="50"/>
      <c r="C92" s="51" t="str">
        <f>IF('2027'!$B$96="","",'2027'!$B$96)</f>
        <v/>
      </c>
      <c r="D92" s="51" t="str">
        <f>IF('2027'!$C$96="","",'2027'!$C$96)</f>
        <v/>
      </c>
      <c r="E92" s="51" t="str">
        <f>IF('2027'!$D$96="","",'2027'!$D$96)</f>
        <v/>
      </c>
      <c r="F92" s="51" t="str">
        <f>IF('2027'!$E$96="","",'2027'!$E$96)</f>
        <v/>
      </c>
      <c r="G92" s="51" t="str">
        <f>IF('2027'!$F$96="","",'2027'!$F$96)</f>
        <v/>
      </c>
      <c r="H92" s="57" t="str">
        <f>IF('2027'!$H$96="","",'2027'!$H$96)</f>
        <v/>
      </c>
      <c r="I92" s="58"/>
      <c r="J92" s="51" t="str">
        <f>IF('2027'!$I$96="","",'2027'!$I$96)</f>
        <v/>
      </c>
      <c r="K92" s="51" t="str">
        <f t="shared" si="2"/>
        <v/>
      </c>
      <c r="L92" s="51" t="str">
        <f>IF('2027'!$J$96="","",'2027'!$J$96)</f>
        <v/>
      </c>
      <c r="M92" s="60" t="str">
        <f>IF('2027'!$K$96="","",'2027'!$K$96)</f>
        <v/>
      </c>
      <c r="N92" s="60" t="str">
        <f>IF('2027'!$L$96="","",'2027'!$L$96)</f>
        <v/>
      </c>
      <c r="O92" s="58" t="str">
        <f t="shared" si="3"/>
        <v/>
      </c>
      <c r="P92" s="58"/>
      <c r="Q92" s="51" t="str">
        <f t="shared" si="4"/>
        <v/>
      </c>
      <c r="R92" s="51" t="str">
        <f t="shared" si="5"/>
        <v/>
      </c>
      <c r="S92" s="58" t="str">
        <f t="shared" si="6"/>
        <v/>
      </c>
      <c r="T92" s="51" t="str">
        <f t="shared" si="7"/>
        <v/>
      </c>
      <c r="U92" s="50" t="str">
        <f t="shared" si="8"/>
        <v/>
      </c>
      <c r="V92" s="58" t="str">
        <f>IF('2027'!$G$96="","",'2027'!$G$96)</f>
        <v/>
      </c>
      <c r="W92" s="58"/>
      <c r="X92" s="51" t="str">
        <f t="shared" si="9"/>
        <v/>
      </c>
      <c r="Y92" s="51" t="str">
        <f t="shared" si="10"/>
        <v/>
      </c>
      <c r="Z92" s="80" t="str">
        <f t="shared" si="11"/>
        <v/>
      </c>
      <c r="AA92" s="60"/>
      <c r="AB92" s="51" t="str">
        <f t="shared" si="12"/>
        <v/>
      </c>
      <c r="AC92" s="58" t="str">
        <f t="shared" si="13"/>
        <v/>
      </c>
      <c r="AD92" s="80" t="str">
        <f>IF('2027'!$M$96="","",'2027'!$M$96)</f>
        <v/>
      </c>
      <c r="AE92" s="49" t="str">
        <f>IF('2027'!$N$96="","",'2027'!$N$96)</f>
        <v/>
      </c>
      <c r="AF92" s="80">
        <f>IF('2027'!$O$96="","",'2027'!$O$96)</f>
        <v>0</v>
      </c>
      <c r="AG92" s="86"/>
      <c r="AH92" s="86"/>
      <c r="AI92" s="80" t="str">
        <f>IF('2027'!$Q$96="","",'2027'!$Q$96)</f>
        <v/>
      </c>
      <c r="AJ92" s="80" t="str">
        <f t="shared" si="14"/>
        <v/>
      </c>
      <c r="AK92" s="80" t="str">
        <f t="shared" si="15"/>
        <v/>
      </c>
      <c r="AL92" s="80">
        <f>IF('2027'!$R$96="","",'2027'!$R$96)</f>
        <v>0</v>
      </c>
      <c r="AM92" s="89">
        <f t="shared" ref="AM92:AN92" si="129">IFERROR(AI92-AJ92,0)</f>
        <v>0</v>
      </c>
      <c r="AN92" s="89">
        <f t="shared" si="129"/>
        <v>0</v>
      </c>
      <c r="AO92" s="91">
        <f>IF('2027'!$S$96="","",'2027'!$S$96)</f>
        <v>0</v>
      </c>
      <c r="AP92" s="92">
        <f t="shared" si="17"/>
        <v>0</v>
      </c>
      <c r="AQ92" s="86" t="str">
        <f t="shared" si="18"/>
        <v/>
      </c>
      <c r="AR92" s="80" t="str">
        <f>IF('2027'!$T$96="","",'2027'!$T$96)</f>
        <v/>
      </c>
      <c r="AS92" s="80">
        <f>IF('2027'!$U$96="","",'2027'!$U$96)</f>
        <v>0</v>
      </c>
      <c r="AT92" s="86" t="str">
        <f t="shared" si="19"/>
        <v/>
      </c>
      <c r="AU92" s="86"/>
      <c r="AV92" s="96" t="str">
        <f t="shared" si="20"/>
        <v/>
      </c>
      <c r="AW92" s="97" t="str">
        <f t="shared" si="21"/>
        <v/>
      </c>
      <c r="AX92" s="97" t="str">
        <f t="shared" si="22"/>
        <v/>
      </c>
      <c r="AY92" s="60" t="str">
        <f t="shared" si="23"/>
        <v/>
      </c>
      <c r="AZ92" s="97" t="str">
        <f t="shared" si="24"/>
        <v/>
      </c>
      <c r="BA92" s="49" t="str">
        <f t="shared" si="25"/>
        <v/>
      </c>
      <c r="BB92" s="80" t="str">
        <f t="shared" si="26"/>
        <v/>
      </c>
      <c r="BC92" s="80" t="str">
        <f t="shared" si="27"/>
        <v/>
      </c>
      <c r="BD92" s="89">
        <f t="shared" si="28"/>
        <v>0</v>
      </c>
      <c r="BE92" s="60" t="str">
        <f t="shared" si="29"/>
        <v/>
      </c>
      <c r="BF92" s="102" t="str">
        <f t="shared" si="30"/>
        <v/>
      </c>
      <c r="BG92" s="103">
        <f t="shared" si="31"/>
        <v>-46258</v>
      </c>
      <c r="BH92" s="104" t="str">
        <f t="shared" si="32"/>
        <v/>
      </c>
      <c r="BI92" s="104" t="str">
        <f t="shared" si="33"/>
        <v/>
      </c>
      <c r="BJ92" s="104" t="str">
        <f t="shared" si="34"/>
        <v/>
      </c>
      <c r="BK92" s="104" t="str">
        <f t="shared" si="35"/>
        <v/>
      </c>
      <c r="BL92" s="104" t="str">
        <f t="shared" si="36"/>
        <v/>
      </c>
      <c r="BM92" s="57" t="str">
        <f>IF('2027'!$V$96="","",'2027'!$V$96)</f>
        <v/>
      </c>
      <c r="BN92" s="80" t="str">
        <f t="shared" si="37"/>
        <v/>
      </c>
      <c r="BO92" s="80" t="str">
        <f t="shared" si="38"/>
        <v/>
      </c>
      <c r="BP92" s="80" t="str">
        <f t="shared" si="39"/>
        <v/>
      </c>
      <c r="BQ92" s="80" t="str">
        <f t="shared" si="40"/>
        <v/>
      </c>
      <c r="BR92" s="80" t="str">
        <f t="shared" si="41"/>
        <v/>
      </c>
      <c r="BS92" s="116" t="str">
        <f t="shared" si="42"/>
        <v/>
      </c>
    </row>
    <row r="93" ht="15.0" customHeight="1">
      <c r="A93" s="49" t="str">
        <f>IF('2027'!$E$97="","",'2027'!$E$97)</f>
        <v/>
      </c>
      <c r="B93" s="50"/>
      <c r="C93" s="51" t="str">
        <f>IF('2027'!$B$97="","",'2027'!$B$97)</f>
        <v/>
      </c>
      <c r="D93" s="51" t="str">
        <f>IF('2027'!$C$97="","",'2027'!$C$97)</f>
        <v/>
      </c>
      <c r="E93" s="51" t="str">
        <f>IF('2027'!$D$97="","",'2027'!$D$97)</f>
        <v/>
      </c>
      <c r="F93" s="51" t="str">
        <f>IF('2027'!$E$97="","",'2027'!$E$97)</f>
        <v/>
      </c>
      <c r="G93" s="51" t="str">
        <f>IF('2027'!$F$97="","",'2027'!$F$97)</f>
        <v/>
      </c>
      <c r="H93" s="57" t="str">
        <f>IF('2027'!$H$97="","",'2027'!$H$97)</f>
        <v/>
      </c>
      <c r="I93" s="58"/>
      <c r="J93" s="51" t="str">
        <f>IF('2027'!$I$97="","",'2027'!$I$97)</f>
        <v/>
      </c>
      <c r="K93" s="51" t="str">
        <f t="shared" si="2"/>
        <v/>
      </c>
      <c r="L93" s="51" t="str">
        <f>IF('2027'!$J$97="","",'2027'!$J$97)</f>
        <v/>
      </c>
      <c r="M93" s="60" t="str">
        <f>IF('2027'!$K$97="","",'2027'!$K$97)</f>
        <v/>
      </c>
      <c r="N93" s="60" t="str">
        <f>IF('2027'!$L$97="","",'2027'!$L$97)</f>
        <v/>
      </c>
      <c r="O93" s="58" t="str">
        <f t="shared" si="3"/>
        <v/>
      </c>
      <c r="P93" s="58"/>
      <c r="Q93" s="51" t="str">
        <f t="shared" si="4"/>
        <v/>
      </c>
      <c r="R93" s="51" t="str">
        <f t="shared" si="5"/>
        <v/>
      </c>
      <c r="S93" s="58" t="str">
        <f t="shared" si="6"/>
        <v/>
      </c>
      <c r="T93" s="51" t="str">
        <f t="shared" si="7"/>
        <v/>
      </c>
      <c r="U93" s="50" t="str">
        <f t="shared" si="8"/>
        <v/>
      </c>
      <c r="V93" s="58" t="str">
        <f>IF('2027'!$G$97="","",'2027'!$G$97)</f>
        <v/>
      </c>
      <c r="W93" s="58"/>
      <c r="X93" s="51" t="str">
        <f t="shared" si="9"/>
        <v/>
      </c>
      <c r="Y93" s="51" t="str">
        <f t="shared" si="10"/>
        <v/>
      </c>
      <c r="Z93" s="80" t="str">
        <f t="shared" si="11"/>
        <v/>
      </c>
      <c r="AA93" s="60"/>
      <c r="AB93" s="51" t="str">
        <f t="shared" si="12"/>
        <v/>
      </c>
      <c r="AC93" s="58" t="str">
        <f t="shared" si="13"/>
        <v/>
      </c>
      <c r="AD93" s="80" t="str">
        <f>IF('2027'!$M$97="","",'2027'!$M$97)</f>
        <v/>
      </c>
      <c r="AE93" s="49" t="str">
        <f>IF('2027'!$N$97="","",'2027'!$N$97)</f>
        <v/>
      </c>
      <c r="AF93" s="80">
        <f>IF('2027'!$O$97="","",'2027'!$O$97)</f>
        <v>0</v>
      </c>
      <c r="AG93" s="86"/>
      <c r="AH93" s="86"/>
      <c r="AI93" s="80" t="str">
        <f>IF('2027'!$Q$97="","",'2027'!$Q$97)</f>
        <v/>
      </c>
      <c r="AJ93" s="80" t="str">
        <f t="shared" si="14"/>
        <v/>
      </c>
      <c r="AK93" s="80" t="str">
        <f t="shared" si="15"/>
        <v/>
      </c>
      <c r="AL93" s="80">
        <f>IF('2027'!$R$97="","",'2027'!$R$97)</f>
        <v>0</v>
      </c>
      <c r="AM93" s="89">
        <f t="shared" ref="AM93:AN93" si="130">IFERROR(AI93-AJ93,0)</f>
        <v>0</v>
      </c>
      <c r="AN93" s="89">
        <f t="shared" si="130"/>
        <v>0</v>
      </c>
      <c r="AO93" s="91">
        <f>IF('2027'!$S$97="","",'2027'!$S$97)</f>
        <v>0</v>
      </c>
      <c r="AP93" s="92">
        <f t="shared" si="17"/>
        <v>0</v>
      </c>
      <c r="AQ93" s="86" t="str">
        <f t="shared" si="18"/>
        <v/>
      </c>
      <c r="AR93" s="80" t="str">
        <f>IF('2027'!$T$97="","",'2027'!$T$97)</f>
        <v/>
      </c>
      <c r="AS93" s="80">
        <f>IF('2027'!$U$97="","",'2027'!$U$97)</f>
        <v>0</v>
      </c>
      <c r="AT93" s="86" t="str">
        <f t="shared" si="19"/>
        <v/>
      </c>
      <c r="AU93" s="86"/>
      <c r="AV93" s="96" t="str">
        <f t="shared" si="20"/>
        <v/>
      </c>
      <c r="AW93" s="97" t="str">
        <f t="shared" si="21"/>
        <v/>
      </c>
      <c r="AX93" s="97" t="str">
        <f t="shared" si="22"/>
        <v/>
      </c>
      <c r="AY93" s="60" t="str">
        <f t="shared" si="23"/>
        <v/>
      </c>
      <c r="AZ93" s="97" t="str">
        <f t="shared" si="24"/>
        <v/>
      </c>
      <c r="BA93" s="49" t="str">
        <f t="shared" si="25"/>
        <v/>
      </c>
      <c r="BB93" s="80" t="str">
        <f t="shared" si="26"/>
        <v/>
      </c>
      <c r="BC93" s="80" t="str">
        <f t="shared" si="27"/>
        <v/>
      </c>
      <c r="BD93" s="89">
        <f t="shared" si="28"/>
        <v>0</v>
      </c>
      <c r="BE93" s="60" t="str">
        <f t="shared" si="29"/>
        <v/>
      </c>
      <c r="BF93" s="102" t="str">
        <f t="shared" si="30"/>
        <v/>
      </c>
      <c r="BG93" s="103">
        <f t="shared" si="31"/>
        <v>-46258</v>
      </c>
      <c r="BH93" s="104" t="str">
        <f t="shared" si="32"/>
        <v/>
      </c>
      <c r="BI93" s="104" t="str">
        <f t="shared" si="33"/>
        <v/>
      </c>
      <c r="BJ93" s="104" t="str">
        <f t="shared" si="34"/>
        <v/>
      </c>
      <c r="BK93" s="104" t="str">
        <f t="shared" si="35"/>
        <v/>
      </c>
      <c r="BL93" s="104" t="str">
        <f t="shared" si="36"/>
        <v/>
      </c>
      <c r="BM93" s="57" t="str">
        <f>IF('2027'!$V$97="","",'2027'!$V$97)</f>
        <v/>
      </c>
      <c r="BN93" s="80" t="str">
        <f t="shared" si="37"/>
        <v/>
      </c>
      <c r="BO93" s="80" t="str">
        <f t="shared" si="38"/>
        <v/>
      </c>
      <c r="BP93" s="80" t="str">
        <f t="shared" si="39"/>
        <v/>
      </c>
      <c r="BQ93" s="80" t="str">
        <f t="shared" si="40"/>
        <v/>
      </c>
      <c r="BR93" s="80" t="str">
        <f t="shared" si="41"/>
        <v/>
      </c>
      <c r="BS93" s="116" t="str">
        <f t="shared" si="42"/>
        <v/>
      </c>
    </row>
    <row r="94" ht="15.0" customHeight="1">
      <c r="A94" s="49" t="str">
        <f>IF('2027'!$E$98="","",'2027'!$E$98)</f>
        <v/>
      </c>
      <c r="B94" s="50"/>
      <c r="C94" s="51" t="str">
        <f>IF('2027'!$B$98="","",'2027'!$B$98)</f>
        <v/>
      </c>
      <c r="D94" s="51" t="str">
        <f>IF('2027'!$C$98="","",'2027'!$C$98)</f>
        <v/>
      </c>
      <c r="E94" s="51" t="str">
        <f>IF('2027'!$D$98="","",'2027'!$D$98)</f>
        <v/>
      </c>
      <c r="F94" s="51" t="str">
        <f>IF('2027'!$E$98="","",'2027'!$E$98)</f>
        <v/>
      </c>
      <c r="G94" s="51" t="str">
        <f>IF('2027'!$F$98="","",'2027'!$F$98)</f>
        <v/>
      </c>
      <c r="H94" s="57" t="str">
        <f>IF('2027'!$H$98="","",'2027'!$H$98)</f>
        <v/>
      </c>
      <c r="I94" s="58"/>
      <c r="J94" s="51" t="str">
        <f>IF('2027'!$I$98="","",'2027'!$I$98)</f>
        <v/>
      </c>
      <c r="K94" s="51" t="str">
        <f t="shared" si="2"/>
        <v/>
      </c>
      <c r="L94" s="51" t="str">
        <f>IF('2027'!$J$98="","",'2027'!$J$98)</f>
        <v/>
      </c>
      <c r="M94" s="60" t="str">
        <f>IF('2027'!$K$98="","",'2027'!$K$98)</f>
        <v/>
      </c>
      <c r="N94" s="60" t="str">
        <f>IF('2027'!$L$98="","",'2027'!$L$98)</f>
        <v/>
      </c>
      <c r="O94" s="58" t="str">
        <f t="shared" si="3"/>
        <v/>
      </c>
      <c r="P94" s="58"/>
      <c r="Q94" s="51" t="str">
        <f t="shared" si="4"/>
        <v/>
      </c>
      <c r="R94" s="51" t="str">
        <f t="shared" si="5"/>
        <v/>
      </c>
      <c r="S94" s="58" t="str">
        <f t="shared" si="6"/>
        <v/>
      </c>
      <c r="T94" s="51" t="str">
        <f t="shared" si="7"/>
        <v/>
      </c>
      <c r="U94" s="50" t="str">
        <f t="shared" si="8"/>
        <v/>
      </c>
      <c r="V94" s="58" t="str">
        <f>IF('2027'!$G$98="","",'2027'!$G$98)</f>
        <v/>
      </c>
      <c r="W94" s="58"/>
      <c r="X94" s="51" t="str">
        <f t="shared" si="9"/>
        <v/>
      </c>
      <c r="Y94" s="51" t="str">
        <f t="shared" si="10"/>
        <v/>
      </c>
      <c r="Z94" s="80" t="str">
        <f t="shared" si="11"/>
        <v/>
      </c>
      <c r="AA94" s="60"/>
      <c r="AB94" s="51" t="str">
        <f t="shared" si="12"/>
        <v/>
      </c>
      <c r="AC94" s="58" t="str">
        <f t="shared" si="13"/>
        <v/>
      </c>
      <c r="AD94" s="80" t="str">
        <f>IF('2027'!$M$98="","",'2027'!$M$98)</f>
        <v/>
      </c>
      <c r="AE94" s="49" t="str">
        <f>IF('2027'!$N$98="","",'2027'!$N$98)</f>
        <v/>
      </c>
      <c r="AF94" s="80">
        <f>IF('2027'!$O$98="","",'2027'!$O$98)</f>
        <v>0</v>
      </c>
      <c r="AG94" s="86"/>
      <c r="AH94" s="86"/>
      <c r="AI94" s="80" t="str">
        <f>IF('2027'!$Q$98="","",'2027'!$Q$98)</f>
        <v/>
      </c>
      <c r="AJ94" s="80" t="str">
        <f t="shared" si="14"/>
        <v/>
      </c>
      <c r="AK94" s="80" t="str">
        <f t="shared" si="15"/>
        <v/>
      </c>
      <c r="AL94" s="80">
        <f>IF('2027'!$R$98="","",'2027'!$R$98)</f>
        <v>0</v>
      </c>
      <c r="AM94" s="89">
        <f t="shared" ref="AM94:AN94" si="131">IFERROR(AI94-AJ94,0)</f>
        <v>0</v>
      </c>
      <c r="AN94" s="89">
        <f t="shared" si="131"/>
        <v>0</v>
      </c>
      <c r="AO94" s="91">
        <f>IF('2027'!$S$98="","",'2027'!$S$98)</f>
        <v>0</v>
      </c>
      <c r="AP94" s="92">
        <f t="shared" si="17"/>
        <v>0</v>
      </c>
      <c r="AQ94" s="86" t="str">
        <f t="shared" si="18"/>
        <v/>
      </c>
      <c r="AR94" s="80" t="str">
        <f>IF('2027'!$T$98="","",'2027'!$T$98)</f>
        <v/>
      </c>
      <c r="AS94" s="80">
        <f>IF('2027'!$U$98="","",'2027'!$U$98)</f>
        <v>0</v>
      </c>
      <c r="AT94" s="86" t="str">
        <f t="shared" si="19"/>
        <v/>
      </c>
      <c r="AU94" s="86"/>
      <c r="AV94" s="96" t="str">
        <f t="shared" si="20"/>
        <v/>
      </c>
      <c r="AW94" s="97" t="str">
        <f t="shared" si="21"/>
        <v/>
      </c>
      <c r="AX94" s="97" t="str">
        <f t="shared" si="22"/>
        <v/>
      </c>
      <c r="AY94" s="60" t="str">
        <f t="shared" si="23"/>
        <v/>
      </c>
      <c r="AZ94" s="97" t="str">
        <f t="shared" si="24"/>
        <v/>
      </c>
      <c r="BA94" s="49" t="str">
        <f t="shared" si="25"/>
        <v/>
      </c>
      <c r="BB94" s="80" t="str">
        <f t="shared" si="26"/>
        <v/>
      </c>
      <c r="BC94" s="80" t="str">
        <f t="shared" si="27"/>
        <v/>
      </c>
      <c r="BD94" s="89">
        <f t="shared" si="28"/>
        <v>0</v>
      </c>
      <c r="BE94" s="60" t="str">
        <f t="shared" si="29"/>
        <v/>
      </c>
      <c r="BF94" s="102" t="str">
        <f t="shared" si="30"/>
        <v/>
      </c>
      <c r="BG94" s="103">
        <f t="shared" si="31"/>
        <v>-46258</v>
      </c>
      <c r="BH94" s="104" t="str">
        <f t="shared" si="32"/>
        <v/>
      </c>
      <c r="BI94" s="104" t="str">
        <f t="shared" si="33"/>
        <v/>
      </c>
      <c r="BJ94" s="104" t="str">
        <f t="shared" si="34"/>
        <v/>
      </c>
      <c r="BK94" s="104" t="str">
        <f t="shared" si="35"/>
        <v/>
      </c>
      <c r="BL94" s="104" t="str">
        <f t="shared" si="36"/>
        <v/>
      </c>
      <c r="BM94" s="57" t="str">
        <f>IF('2027'!$V$98="","",'2027'!$V$98)</f>
        <v/>
      </c>
      <c r="BN94" s="80" t="str">
        <f t="shared" si="37"/>
        <v/>
      </c>
      <c r="BO94" s="80" t="str">
        <f t="shared" si="38"/>
        <v/>
      </c>
      <c r="BP94" s="80" t="str">
        <f t="shared" si="39"/>
        <v/>
      </c>
      <c r="BQ94" s="80" t="str">
        <f t="shared" si="40"/>
        <v/>
      </c>
      <c r="BR94" s="80" t="str">
        <f t="shared" si="41"/>
        <v/>
      </c>
      <c r="BS94" s="116" t="str">
        <f t="shared" si="42"/>
        <v/>
      </c>
    </row>
    <row r="95" ht="15.0" customHeight="1">
      <c r="A95" s="49" t="str">
        <f>IF('2027'!$E$99="","",'2027'!$E$99)</f>
        <v/>
      </c>
      <c r="B95" s="50"/>
      <c r="C95" s="51" t="str">
        <f>IF('2027'!$B$99="","",'2027'!$B$99)</f>
        <v/>
      </c>
      <c r="D95" s="51" t="str">
        <f>IF('2027'!$C$99="","",'2027'!$C$99)</f>
        <v/>
      </c>
      <c r="E95" s="51" t="str">
        <f>IF('2027'!$D$99="","",'2027'!$D$99)</f>
        <v/>
      </c>
      <c r="F95" s="51" t="str">
        <f>IF('2027'!$E$99="","",'2027'!$E$99)</f>
        <v/>
      </c>
      <c r="G95" s="51" t="str">
        <f>IF('2027'!$F$99="","",'2027'!$F$99)</f>
        <v/>
      </c>
      <c r="H95" s="57" t="str">
        <f>IF('2027'!$H$99="","",'2027'!$H$99)</f>
        <v/>
      </c>
      <c r="I95" s="58"/>
      <c r="J95" s="51" t="str">
        <f>IF('2027'!$I$99="","",'2027'!$I$99)</f>
        <v/>
      </c>
      <c r="K95" s="51" t="str">
        <f t="shared" si="2"/>
        <v/>
      </c>
      <c r="L95" s="51" t="str">
        <f>IF('2027'!$J$99="","",'2027'!$J$99)</f>
        <v/>
      </c>
      <c r="M95" s="60" t="str">
        <f>IF('2027'!$K$99="","",'2027'!$K$99)</f>
        <v/>
      </c>
      <c r="N95" s="60" t="str">
        <f>IF('2027'!$L$99="","",'2027'!$L$99)</f>
        <v/>
      </c>
      <c r="O95" s="58" t="str">
        <f t="shared" si="3"/>
        <v/>
      </c>
      <c r="P95" s="58"/>
      <c r="Q95" s="51" t="str">
        <f t="shared" si="4"/>
        <v/>
      </c>
      <c r="R95" s="51" t="str">
        <f t="shared" si="5"/>
        <v/>
      </c>
      <c r="S95" s="58" t="str">
        <f t="shared" si="6"/>
        <v/>
      </c>
      <c r="T95" s="51" t="str">
        <f t="shared" si="7"/>
        <v/>
      </c>
      <c r="U95" s="50" t="str">
        <f t="shared" si="8"/>
        <v/>
      </c>
      <c r="V95" s="58" t="str">
        <f>IF('2027'!$G$99="","",'2027'!$G$99)</f>
        <v/>
      </c>
      <c r="W95" s="58"/>
      <c r="X95" s="51" t="str">
        <f t="shared" si="9"/>
        <v/>
      </c>
      <c r="Y95" s="51" t="str">
        <f t="shared" si="10"/>
        <v/>
      </c>
      <c r="Z95" s="80" t="str">
        <f t="shared" si="11"/>
        <v/>
      </c>
      <c r="AA95" s="60"/>
      <c r="AB95" s="51" t="str">
        <f t="shared" si="12"/>
        <v/>
      </c>
      <c r="AC95" s="58" t="str">
        <f t="shared" si="13"/>
        <v/>
      </c>
      <c r="AD95" s="80" t="str">
        <f>IF('2027'!$M$99="","",'2027'!$M$99)</f>
        <v/>
      </c>
      <c r="AE95" s="49" t="str">
        <f>IF('2027'!$N$99="","",'2027'!$N$99)</f>
        <v/>
      </c>
      <c r="AF95" s="80">
        <f>IF('2027'!$O$99="","",'2027'!$O$99)</f>
        <v>0</v>
      </c>
      <c r="AG95" s="86"/>
      <c r="AH95" s="86"/>
      <c r="AI95" s="80" t="str">
        <f>IF('2027'!$Q$99="","",'2027'!$Q$99)</f>
        <v/>
      </c>
      <c r="AJ95" s="80" t="str">
        <f t="shared" si="14"/>
        <v/>
      </c>
      <c r="AK95" s="80" t="str">
        <f t="shared" si="15"/>
        <v/>
      </c>
      <c r="AL95" s="80">
        <f>IF('2027'!$R$99="","",'2027'!$R$99)</f>
        <v>0</v>
      </c>
      <c r="AM95" s="89">
        <f t="shared" ref="AM95:AN95" si="132">IFERROR(AI95-AJ95,0)</f>
        <v>0</v>
      </c>
      <c r="AN95" s="89">
        <f t="shared" si="132"/>
        <v>0</v>
      </c>
      <c r="AO95" s="91">
        <f>IF('2027'!$S$99="","",'2027'!$S$99)</f>
        <v>0</v>
      </c>
      <c r="AP95" s="92">
        <f t="shared" si="17"/>
        <v>0</v>
      </c>
      <c r="AQ95" s="86" t="str">
        <f t="shared" si="18"/>
        <v/>
      </c>
      <c r="AR95" s="80" t="str">
        <f>IF('2027'!$T$99="","",'2027'!$T$99)</f>
        <v/>
      </c>
      <c r="AS95" s="80">
        <f>IF('2027'!$U$99="","",'2027'!$U$99)</f>
        <v>0</v>
      </c>
      <c r="AT95" s="86" t="str">
        <f t="shared" si="19"/>
        <v/>
      </c>
      <c r="AU95" s="86"/>
      <c r="AV95" s="96" t="str">
        <f t="shared" si="20"/>
        <v/>
      </c>
      <c r="AW95" s="97" t="str">
        <f t="shared" si="21"/>
        <v/>
      </c>
      <c r="AX95" s="97" t="str">
        <f t="shared" si="22"/>
        <v/>
      </c>
      <c r="AY95" s="60" t="str">
        <f t="shared" si="23"/>
        <v/>
      </c>
      <c r="AZ95" s="97" t="str">
        <f t="shared" si="24"/>
        <v/>
      </c>
      <c r="BA95" s="49" t="str">
        <f t="shared" si="25"/>
        <v/>
      </c>
      <c r="BB95" s="80" t="str">
        <f t="shared" si="26"/>
        <v/>
      </c>
      <c r="BC95" s="80" t="str">
        <f t="shared" si="27"/>
        <v/>
      </c>
      <c r="BD95" s="89">
        <f t="shared" si="28"/>
        <v>0</v>
      </c>
      <c r="BE95" s="60" t="str">
        <f t="shared" si="29"/>
        <v/>
      </c>
      <c r="BF95" s="102" t="str">
        <f t="shared" si="30"/>
        <v/>
      </c>
      <c r="BG95" s="103">
        <f t="shared" si="31"/>
        <v>-46258</v>
      </c>
      <c r="BH95" s="104" t="str">
        <f t="shared" si="32"/>
        <v/>
      </c>
      <c r="BI95" s="104" t="str">
        <f t="shared" si="33"/>
        <v/>
      </c>
      <c r="BJ95" s="104" t="str">
        <f t="shared" si="34"/>
        <v/>
      </c>
      <c r="BK95" s="104" t="str">
        <f t="shared" si="35"/>
        <v/>
      </c>
      <c r="BL95" s="104" t="str">
        <f t="shared" si="36"/>
        <v/>
      </c>
      <c r="BM95" s="57" t="str">
        <f>IF('2027'!$V$99="","",'2027'!$V$99)</f>
        <v/>
      </c>
      <c r="BN95" s="80" t="str">
        <f t="shared" si="37"/>
        <v/>
      </c>
      <c r="BO95" s="80" t="str">
        <f t="shared" si="38"/>
        <v/>
      </c>
      <c r="BP95" s="80" t="str">
        <f t="shared" si="39"/>
        <v/>
      </c>
      <c r="BQ95" s="80" t="str">
        <f t="shared" si="40"/>
        <v/>
      </c>
      <c r="BR95" s="80" t="str">
        <f t="shared" si="41"/>
        <v/>
      </c>
      <c r="BS95" s="116" t="str">
        <f t="shared" si="42"/>
        <v/>
      </c>
    </row>
    <row r="96" ht="15.0" customHeight="1">
      <c r="A96" s="49" t="str">
        <f>IF('2027'!$E$100="","",'2027'!$E$100)</f>
        <v/>
      </c>
      <c r="B96" s="50"/>
      <c r="C96" s="51" t="str">
        <f>IF('2027'!$B$100="","",'2027'!$B$100)</f>
        <v/>
      </c>
      <c r="D96" s="51" t="str">
        <f>IF('2027'!$C$100="","",'2027'!$C$100)</f>
        <v/>
      </c>
      <c r="E96" s="51" t="str">
        <f>IF('2027'!$D$100="","",'2027'!$D$100)</f>
        <v/>
      </c>
      <c r="F96" s="51" t="str">
        <f>IF('2027'!$E$100="","",'2027'!$E$100)</f>
        <v/>
      </c>
      <c r="G96" s="51" t="str">
        <f>IF('2027'!$F$100="","",'2027'!$F$100)</f>
        <v/>
      </c>
      <c r="H96" s="57" t="str">
        <f>IF('2027'!$H$100="","",'2027'!$H$100)</f>
        <v/>
      </c>
      <c r="I96" s="58"/>
      <c r="J96" s="51" t="str">
        <f>IF('2027'!$I$100="","",'2027'!$I$100)</f>
        <v/>
      </c>
      <c r="K96" s="51" t="str">
        <f t="shared" si="2"/>
        <v/>
      </c>
      <c r="L96" s="51" t="str">
        <f>IF('2027'!$J$100="","",'2027'!$J$100)</f>
        <v/>
      </c>
      <c r="M96" s="60" t="str">
        <f>IF('2027'!$K$100="","",'2027'!$K$100)</f>
        <v/>
      </c>
      <c r="N96" s="60" t="str">
        <f>IF('2027'!$L$100="","",'2027'!$L$100)</f>
        <v/>
      </c>
      <c r="O96" s="58" t="str">
        <f t="shared" si="3"/>
        <v/>
      </c>
      <c r="P96" s="58"/>
      <c r="Q96" s="51" t="str">
        <f t="shared" si="4"/>
        <v/>
      </c>
      <c r="R96" s="51" t="str">
        <f t="shared" si="5"/>
        <v/>
      </c>
      <c r="S96" s="58" t="str">
        <f t="shared" si="6"/>
        <v/>
      </c>
      <c r="T96" s="51" t="str">
        <f t="shared" si="7"/>
        <v/>
      </c>
      <c r="U96" s="50" t="str">
        <f t="shared" si="8"/>
        <v/>
      </c>
      <c r="V96" s="58" t="str">
        <f>IF('2027'!$G$100="","",'2027'!$G$100)</f>
        <v/>
      </c>
      <c r="W96" s="58"/>
      <c r="X96" s="51" t="str">
        <f t="shared" si="9"/>
        <v/>
      </c>
      <c r="Y96" s="51" t="str">
        <f t="shared" si="10"/>
        <v/>
      </c>
      <c r="Z96" s="80" t="str">
        <f t="shared" si="11"/>
        <v/>
      </c>
      <c r="AA96" s="60"/>
      <c r="AB96" s="51" t="str">
        <f t="shared" si="12"/>
        <v/>
      </c>
      <c r="AC96" s="58" t="str">
        <f t="shared" si="13"/>
        <v/>
      </c>
      <c r="AD96" s="80" t="str">
        <f>IF('2027'!$M$100="","",'2027'!$M$100)</f>
        <v/>
      </c>
      <c r="AE96" s="49" t="str">
        <f>IF('2027'!$N$100="","",'2027'!$N$100)</f>
        <v/>
      </c>
      <c r="AF96" s="80">
        <f>IF('2027'!$O$100="","",'2027'!$O$100)</f>
        <v>0</v>
      </c>
      <c r="AG96" s="86"/>
      <c r="AH96" s="86"/>
      <c r="AI96" s="80" t="str">
        <f>IF('2027'!$Q$100="","",'2027'!$Q$100)</f>
        <v/>
      </c>
      <c r="AJ96" s="80" t="str">
        <f t="shared" si="14"/>
        <v/>
      </c>
      <c r="AK96" s="80" t="str">
        <f t="shared" si="15"/>
        <v/>
      </c>
      <c r="AL96" s="80">
        <f>IF('2027'!$R$100="","",'2027'!$R$100)</f>
        <v>0</v>
      </c>
      <c r="AM96" s="89">
        <f t="shared" ref="AM96:AN96" si="133">IFERROR(AI96-AJ96,0)</f>
        <v>0</v>
      </c>
      <c r="AN96" s="89">
        <f t="shared" si="133"/>
        <v>0</v>
      </c>
      <c r="AO96" s="91">
        <f>IF('2027'!$S$100="","",'2027'!$S$100)</f>
        <v>0</v>
      </c>
      <c r="AP96" s="92">
        <f t="shared" si="17"/>
        <v>0</v>
      </c>
      <c r="AQ96" s="86" t="str">
        <f t="shared" si="18"/>
        <v/>
      </c>
      <c r="AR96" s="80" t="str">
        <f>IF('2027'!$T$100="","",'2027'!$T$100)</f>
        <v/>
      </c>
      <c r="AS96" s="80">
        <f>IF('2027'!$U$100="","",'2027'!$U$100)</f>
        <v>0</v>
      </c>
      <c r="AT96" s="86" t="str">
        <f t="shared" si="19"/>
        <v/>
      </c>
      <c r="AU96" s="86"/>
      <c r="AV96" s="96" t="str">
        <f t="shared" si="20"/>
        <v/>
      </c>
      <c r="AW96" s="97" t="str">
        <f t="shared" si="21"/>
        <v/>
      </c>
      <c r="AX96" s="97" t="str">
        <f t="shared" si="22"/>
        <v/>
      </c>
      <c r="AY96" s="60" t="str">
        <f t="shared" si="23"/>
        <v/>
      </c>
      <c r="AZ96" s="97" t="str">
        <f t="shared" si="24"/>
        <v/>
      </c>
      <c r="BA96" s="49" t="str">
        <f t="shared" si="25"/>
        <v/>
      </c>
      <c r="BB96" s="80" t="str">
        <f t="shared" si="26"/>
        <v/>
      </c>
      <c r="BC96" s="80" t="str">
        <f t="shared" si="27"/>
        <v/>
      </c>
      <c r="BD96" s="89">
        <f t="shared" si="28"/>
        <v>0</v>
      </c>
      <c r="BE96" s="60" t="str">
        <f t="shared" si="29"/>
        <v/>
      </c>
      <c r="BF96" s="102" t="str">
        <f t="shared" si="30"/>
        <v/>
      </c>
      <c r="BG96" s="103">
        <f t="shared" si="31"/>
        <v>-46258</v>
      </c>
      <c r="BH96" s="104" t="str">
        <f t="shared" si="32"/>
        <v/>
      </c>
      <c r="BI96" s="104" t="str">
        <f t="shared" si="33"/>
        <v/>
      </c>
      <c r="BJ96" s="104" t="str">
        <f t="shared" si="34"/>
        <v/>
      </c>
      <c r="BK96" s="104" t="str">
        <f t="shared" si="35"/>
        <v/>
      </c>
      <c r="BL96" s="104" t="str">
        <f t="shared" si="36"/>
        <v/>
      </c>
      <c r="BM96" s="57" t="str">
        <f>IF('2027'!$V$100="","",'2027'!$V$100)</f>
        <v/>
      </c>
      <c r="BN96" s="80" t="str">
        <f t="shared" si="37"/>
        <v/>
      </c>
      <c r="BO96" s="80" t="str">
        <f t="shared" si="38"/>
        <v/>
      </c>
      <c r="BP96" s="80" t="str">
        <f t="shared" si="39"/>
        <v/>
      </c>
      <c r="BQ96" s="80" t="str">
        <f t="shared" si="40"/>
        <v/>
      </c>
      <c r="BR96" s="80" t="str">
        <f t="shared" si="41"/>
        <v/>
      </c>
      <c r="BS96" s="116" t="str">
        <f t="shared" si="42"/>
        <v/>
      </c>
    </row>
    <row r="97" ht="15.0" customHeight="1">
      <c r="A97" s="49" t="str">
        <f>IF('2027'!$E$101="","",'2027'!$E$101)</f>
        <v/>
      </c>
      <c r="B97" s="50"/>
      <c r="C97" s="51" t="str">
        <f>IF('2027'!$B$101="","",'2027'!$B$101)</f>
        <v/>
      </c>
      <c r="D97" s="51" t="str">
        <f>IF('2027'!$C$101="","",'2027'!$C$101)</f>
        <v/>
      </c>
      <c r="E97" s="51" t="str">
        <f>IF('2027'!$D$101="","",'2027'!$D$101)</f>
        <v/>
      </c>
      <c r="F97" s="51" t="str">
        <f>IF('2027'!$E$101="","",'2027'!$E$101)</f>
        <v/>
      </c>
      <c r="G97" s="51" t="str">
        <f>IF('2027'!$F$101="","",'2027'!$F$101)</f>
        <v/>
      </c>
      <c r="H97" s="57" t="str">
        <f>IF('2027'!$H$101="","",'2027'!$H$101)</f>
        <v/>
      </c>
      <c r="I97" s="58"/>
      <c r="J97" s="51" t="str">
        <f>IF('2027'!$I$101="","",'2027'!$I$101)</f>
        <v/>
      </c>
      <c r="K97" s="51" t="str">
        <f t="shared" si="2"/>
        <v/>
      </c>
      <c r="L97" s="51" t="str">
        <f>IF('2027'!$J$101="","",'2027'!$J$101)</f>
        <v/>
      </c>
      <c r="M97" s="60" t="str">
        <f>IF('2027'!$K$101="","",'2027'!$K$101)</f>
        <v/>
      </c>
      <c r="N97" s="60" t="str">
        <f>IF('2027'!$L$101="","",'2027'!$L$101)</f>
        <v/>
      </c>
      <c r="O97" s="58" t="str">
        <f t="shared" si="3"/>
        <v/>
      </c>
      <c r="P97" s="58"/>
      <c r="Q97" s="51" t="str">
        <f t="shared" si="4"/>
        <v/>
      </c>
      <c r="R97" s="51" t="str">
        <f t="shared" si="5"/>
        <v/>
      </c>
      <c r="S97" s="58" t="str">
        <f t="shared" si="6"/>
        <v/>
      </c>
      <c r="T97" s="51" t="str">
        <f t="shared" si="7"/>
        <v/>
      </c>
      <c r="U97" s="50" t="str">
        <f t="shared" si="8"/>
        <v/>
      </c>
      <c r="V97" s="58" t="str">
        <f>IF('2027'!$G$101="","",'2027'!$G$101)</f>
        <v/>
      </c>
      <c r="W97" s="58"/>
      <c r="X97" s="51" t="str">
        <f t="shared" si="9"/>
        <v/>
      </c>
      <c r="Y97" s="51" t="str">
        <f t="shared" si="10"/>
        <v/>
      </c>
      <c r="Z97" s="80" t="str">
        <f t="shared" si="11"/>
        <v/>
      </c>
      <c r="AA97" s="60"/>
      <c r="AB97" s="51" t="str">
        <f t="shared" si="12"/>
        <v/>
      </c>
      <c r="AC97" s="58" t="str">
        <f t="shared" si="13"/>
        <v/>
      </c>
      <c r="AD97" s="80" t="str">
        <f>IF('2027'!$M$101="","",'2027'!$M$101)</f>
        <v/>
      </c>
      <c r="AE97" s="49" t="str">
        <f>IF('2027'!$N$101="","",'2027'!$N$101)</f>
        <v/>
      </c>
      <c r="AF97" s="80">
        <f>IF('2027'!$O$101="","",'2027'!$O$101)</f>
        <v>0</v>
      </c>
      <c r="AG97" s="86"/>
      <c r="AH97" s="86"/>
      <c r="AI97" s="80" t="str">
        <f>IF('2027'!$Q$101="","",'2027'!$Q$101)</f>
        <v/>
      </c>
      <c r="AJ97" s="80" t="str">
        <f t="shared" si="14"/>
        <v/>
      </c>
      <c r="AK97" s="80" t="str">
        <f t="shared" si="15"/>
        <v/>
      </c>
      <c r="AL97" s="80">
        <f>IF('2027'!$R$101="","",'2027'!$R$101)</f>
        <v>0</v>
      </c>
      <c r="AM97" s="89">
        <f t="shared" ref="AM97:AN97" si="134">IFERROR(AI97-AJ97,0)</f>
        <v>0</v>
      </c>
      <c r="AN97" s="89">
        <f t="shared" si="134"/>
        <v>0</v>
      </c>
      <c r="AO97" s="91">
        <f>IF('2027'!$S$101="","",'2027'!$S$101)</f>
        <v>0</v>
      </c>
      <c r="AP97" s="92">
        <f t="shared" si="17"/>
        <v>0</v>
      </c>
      <c r="AQ97" s="86" t="str">
        <f t="shared" si="18"/>
        <v/>
      </c>
      <c r="AR97" s="80" t="str">
        <f>IF('2027'!$T$101="","",'2027'!$T$101)</f>
        <v/>
      </c>
      <c r="AS97" s="80">
        <f>IF('2027'!$U$101="","",'2027'!$U$101)</f>
        <v>0</v>
      </c>
      <c r="AT97" s="86" t="str">
        <f t="shared" si="19"/>
        <v/>
      </c>
      <c r="AU97" s="86"/>
      <c r="AV97" s="96" t="str">
        <f t="shared" si="20"/>
        <v/>
      </c>
      <c r="AW97" s="97" t="str">
        <f t="shared" si="21"/>
        <v/>
      </c>
      <c r="AX97" s="97" t="str">
        <f t="shared" si="22"/>
        <v/>
      </c>
      <c r="AY97" s="60" t="str">
        <f t="shared" si="23"/>
        <v/>
      </c>
      <c r="AZ97" s="97" t="str">
        <f t="shared" si="24"/>
        <v/>
      </c>
      <c r="BA97" s="49" t="str">
        <f t="shared" si="25"/>
        <v/>
      </c>
      <c r="BB97" s="80" t="str">
        <f t="shared" si="26"/>
        <v/>
      </c>
      <c r="BC97" s="80" t="str">
        <f t="shared" si="27"/>
        <v/>
      </c>
      <c r="BD97" s="89">
        <f t="shared" si="28"/>
        <v>0</v>
      </c>
      <c r="BE97" s="60" t="str">
        <f t="shared" si="29"/>
        <v/>
      </c>
      <c r="BF97" s="102" t="str">
        <f t="shared" si="30"/>
        <v/>
      </c>
      <c r="BG97" s="103">
        <f t="shared" si="31"/>
        <v>-46258</v>
      </c>
      <c r="BH97" s="104" t="str">
        <f t="shared" si="32"/>
        <v/>
      </c>
      <c r="BI97" s="104" t="str">
        <f t="shared" si="33"/>
        <v/>
      </c>
      <c r="BJ97" s="104" t="str">
        <f t="shared" si="34"/>
        <v/>
      </c>
      <c r="BK97" s="104" t="str">
        <f t="shared" si="35"/>
        <v/>
      </c>
      <c r="BL97" s="104" t="str">
        <f t="shared" si="36"/>
        <v/>
      </c>
      <c r="BM97" s="57" t="str">
        <f>IF('2027'!$V$101="","",'2027'!$V$101)</f>
        <v/>
      </c>
      <c r="BN97" s="80" t="str">
        <f t="shared" si="37"/>
        <v/>
      </c>
      <c r="BO97" s="80" t="str">
        <f t="shared" si="38"/>
        <v/>
      </c>
      <c r="BP97" s="80" t="str">
        <f t="shared" si="39"/>
        <v/>
      </c>
      <c r="BQ97" s="80" t="str">
        <f t="shared" si="40"/>
        <v/>
      </c>
      <c r="BR97" s="80" t="str">
        <f t="shared" si="41"/>
        <v/>
      </c>
      <c r="BS97" s="116" t="str">
        <f t="shared" si="42"/>
        <v/>
      </c>
    </row>
    <row r="98" ht="15.0" customHeight="1">
      <c r="A98" s="49" t="str">
        <f>IF('2027'!$E$102="","",'2027'!$E$102)</f>
        <v/>
      </c>
      <c r="B98" s="50"/>
      <c r="C98" s="51" t="str">
        <f>IF('2027'!$B$102="","",'2027'!$B$102)</f>
        <v/>
      </c>
      <c r="D98" s="51" t="str">
        <f>IF('2027'!$C$102="","",'2027'!$C$102)</f>
        <v/>
      </c>
      <c r="E98" s="51" t="str">
        <f>IF('2027'!$D$102="","",'2027'!$D$102)</f>
        <v/>
      </c>
      <c r="F98" s="51" t="str">
        <f>IF('2027'!$E$102="","",'2027'!$E$102)</f>
        <v/>
      </c>
      <c r="G98" s="51" t="str">
        <f>IF('2027'!$F$102="","",'2027'!$F$102)</f>
        <v/>
      </c>
      <c r="H98" s="57" t="str">
        <f>IF('2027'!$H$102="","",'2027'!$H$102)</f>
        <v/>
      </c>
      <c r="I98" s="58"/>
      <c r="J98" s="51" t="str">
        <f>IF('2027'!$I$102="","",'2027'!$I$102)</f>
        <v/>
      </c>
      <c r="K98" s="51" t="str">
        <f t="shared" si="2"/>
        <v/>
      </c>
      <c r="L98" s="51" t="str">
        <f>IF('2027'!$J$102="","",'2027'!$J$102)</f>
        <v/>
      </c>
      <c r="M98" s="60" t="str">
        <f>IF('2027'!$K$102="","",'2027'!$K$102)</f>
        <v/>
      </c>
      <c r="N98" s="60" t="str">
        <f>IF('2027'!$L$102="","",'2027'!$L$102)</f>
        <v/>
      </c>
      <c r="O98" s="58" t="str">
        <f t="shared" si="3"/>
        <v/>
      </c>
      <c r="P98" s="58"/>
      <c r="Q98" s="51" t="str">
        <f t="shared" si="4"/>
        <v/>
      </c>
      <c r="R98" s="51" t="str">
        <f t="shared" si="5"/>
        <v/>
      </c>
      <c r="S98" s="58" t="str">
        <f t="shared" si="6"/>
        <v/>
      </c>
      <c r="T98" s="51" t="str">
        <f t="shared" si="7"/>
        <v/>
      </c>
      <c r="U98" s="50" t="str">
        <f t="shared" si="8"/>
        <v/>
      </c>
      <c r="V98" s="58" t="str">
        <f>IF('2027'!$G$102="","",'2027'!$G$102)</f>
        <v/>
      </c>
      <c r="W98" s="58"/>
      <c r="X98" s="51" t="str">
        <f t="shared" si="9"/>
        <v/>
      </c>
      <c r="Y98" s="51" t="str">
        <f t="shared" si="10"/>
        <v/>
      </c>
      <c r="Z98" s="80" t="str">
        <f t="shared" si="11"/>
        <v/>
      </c>
      <c r="AA98" s="60"/>
      <c r="AB98" s="51" t="str">
        <f t="shared" si="12"/>
        <v/>
      </c>
      <c r="AC98" s="58" t="str">
        <f t="shared" si="13"/>
        <v/>
      </c>
      <c r="AD98" s="80" t="str">
        <f>IF('2027'!$M$102="","",'2027'!$M$102)</f>
        <v/>
      </c>
      <c r="AE98" s="49" t="str">
        <f>IF('2027'!$N$102="","",'2027'!$N$102)</f>
        <v/>
      </c>
      <c r="AF98" s="80">
        <f>IF('2027'!$O$102="","",'2027'!$O$102)</f>
        <v>0</v>
      </c>
      <c r="AG98" s="86"/>
      <c r="AH98" s="86"/>
      <c r="AI98" s="80" t="str">
        <f>IF('2027'!$Q$102="","",'2027'!$Q$102)</f>
        <v/>
      </c>
      <c r="AJ98" s="80" t="str">
        <f t="shared" si="14"/>
        <v/>
      </c>
      <c r="AK98" s="80" t="str">
        <f t="shared" si="15"/>
        <v/>
      </c>
      <c r="AL98" s="80">
        <f>IF('2027'!$R$102="","",'2027'!$R$102)</f>
        <v>0</v>
      </c>
      <c r="AM98" s="89">
        <f t="shared" ref="AM98:AN98" si="135">IFERROR(AI98-AJ98,0)</f>
        <v>0</v>
      </c>
      <c r="AN98" s="89">
        <f t="shared" si="135"/>
        <v>0</v>
      </c>
      <c r="AO98" s="91">
        <f>IF('2027'!$S$102="","",'2027'!$S$102)</f>
        <v>0</v>
      </c>
      <c r="AP98" s="92">
        <f t="shared" si="17"/>
        <v>0</v>
      </c>
      <c r="AQ98" s="86" t="str">
        <f t="shared" si="18"/>
        <v/>
      </c>
      <c r="AR98" s="80" t="str">
        <f>IF('2027'!$T$102="","",'2027'!$T$102)</f>
        <v/>
      </c>
      <c r="AS98" s="80">
        <f>IF('2027'!$U$102="","",'2027'!$U$102)</f>
        <v>0</v>
      </c>
      <c r="AT98" s="86" t="str">
        <f t="shared" si="19"/>
        <v/>
      </c>
      <c r="AU98" s="86"/>
      <c r="AV98" s="96" t="str">
        <f t="shared" si="20"/>
        <v/>
      </c>
      <c r="AW98" s="97" t="str">
        <f t="shared" si="21"/>
        <v/>
      </c>
      <c r="AX98" s="97" t="str">
        <f t="shared" si="22"/>
        <v/>
      </c>
      <c r="AY98" s="60" t="str">
        <f t="shared" si="23"/>
        <v/>
      </c>
      <c r="AZ98" s="97" t="str">
        <f t="shared" si="24"/>
        <v/>
      </c>
      <c r="BA98" s="49" t="str">
        <f t="shared" si="25"/>
        <v/>
      </c>
      <c r="BB98" s="80" t="str">
        <f t="shared" si="26"/>
        <v/>
      </c>
      <c r="BC98" s="80" t="str">
        <f t="shared" si="27"/>
        <v/>
      </c>
      <c r="BD98" s="89">
        <f t="shared" si="28"/>
        <v>0</v>
      </c>
      <c r="BE98" s="60" t="str">
        <f t="shared" si="29"/>
        <v/>
      </c>
      <c r="BF98" s="102" t="str">
        <f t="shared" si="30"/>
        <v/>
      </c>
      <c r="BG98" s="103">
        <f t="shared" si="31"/>
        <v>-46258</v>
      </c>
      <c r="BH98" s="104" t="str">
        <f t="shared" si="32"/>
        <v/>
      </c>
      <c r="BI98" s="104" t="str">
        <f t="shared" si="33"/>
        <v/>
      </c>
      <c r="BJ98" s="104" t="str">
        <f t="shared" si="34"/>
        <v/>
      </c>
      <c r="BK98" s="104" t="str">
        <f t="shared" si="35"/>
        <v/>
      </c>
      <c r="BL98" s="104" t="str">
        <f t="shared" si="36"/>
        <v/>
      </c>
      <c r="BM98" s="57" t="str">
        <f>IF('2027'!$V$102="","",'2027'!$V$102)</f>
        <v/>
      </c>
      <c r="BN98" s="80" t="str">
        <f t="shared" si="37"/>
        <v/>
      </c>
      <c r="BO98" s="80" t="str">
        <f t="shared" si="38"/>
        <v/>
      </c>
      <c r="BP98" s="80" t="str">
        <f t="shared" si="39"/>
        <v/>
      </c>
      <c r="BQ98" s="80" t="str">
        <f t="shared" si="40"/>
        <v/>
      </c>
      <c r="BR98" s="80" t="str">
        <f t="shared" si="41"/>
        <v/>
      </c>
      <c r="BS98" s="116" t="str">
        <f t="shared" si="42"/>
        <v/>
      </c>
    </row>
    <row r="99" ht="15.0" customHeight="1">
      <c r="A99" s="49" t="str">
        <f>IF('2027'!$E$103="","",'2027'!$E$103)</f>
        <v/>
      </c>
      <c r="B99" s="50"/>
      <c r="C99" s="51" t="str">
        <f>IF('2027'!$B$103="","",'2027'!$B$103)</f>
        <v/>
      </c>
      <c r="D99" s="51" t="str">
        <f>IF('2027'!$C$103="","",'2027'!$C$103)</f>
        <v/>
      </c>
      <c r="E99" s="51" t="str">
        <f>IF('2027'!$D$103="","",'2027'!$D$103)</f>
        <v/>
      </c>
      <c r="F99" s="51" t="str">
        <f>IF('2027'!$E$103="","",'2027'!$E$103)</f>
        <v/>
      </c>
      <c r="G99" s="51" t="str">
        <f>IF('2027'!$F$103="","",'2027'!$F$103)</f>
        <v/>
      </c>
      <c r="H99" s="57" t="str">
        <f>IF('2027'!$H$103="","",'2027'!$H$103)</f>
        <v/>
      </c>
      <c r="I99" s="58"/>
      <c r="J99" s="51" t="str">
        <f>IF('2027'!$I$103="","",'2027'!$I$103)</f>
        <v/>
      </c>
      <c r="K99" s="51" t="str">
        <f t="shared" si="2"/>
        <v/>
      </c>
      <c r="L99" s="51" t="str">
        <f>IF('2027'!$J$103="","",'2027'!$J$103)</f>
        <v/>
      </c>
      <c r="M99" s="60" t="str">
        <f>IF('2027'!$K$103="","",'2027'!$K$103)</f>
        <v/>
      </c>
      <c r="N99" s="60" t="str">
        <f>IF('2027'!$L$103="","",'2027'!$L$103)</f>
        <v/>
      </c>
      <c r="O99" s="58" t="str">
        <f t="shared" si="3"/>
        <v/>
      </c>
      <c r="P99" s="58"/>
      <c r="Q99" s="51" t="str">
        <f t="shared" si="4"/>
        <v/>
      </c>
      <c r="R99" s="51" t="str">
        <f t="shared" si="5"/>
        <v/>
      </c>
      <c r="S99" s="58" t="str">
        <f t="shared" si="6"/>
        <v/>
      </c>
      <c r="T99" s="51" t="str">
        <f t="shared" si="7"/>
        <v/>
      </c>
      <c r="U99" s="50" t="str">
        <f t="shared" si="8"/>
        <v/>
      </c>
      <c r="V99" s="58" t="str">
        <f>IF('2027'!$G$103="","",'2027'!$G$103)</f>
        <v/>
      </c>
      <c r="W99" s="58"/>
      <c r="X99" s="51" t="str">
        <f t="shared" si="9"/>
        <v/>
      </c>
      <c r="Y99" s="51" t="str">
        <f t="shared" si="10"/>
        <v/>
      </c>
      <c r="Z99" s="80" t="str">
        <f t="shared" si="11"/>
        <v/>
      </c>
      <c r="AA99" s="60"/>
      <c r="AB99" s="51" t="str">
        <f t="shared" si="12"/>
        <v/>
      </c>
      <c r="AC99" s="58" t="str">
        <f t="shared" si="13"/>
        <v/>
      </c>
      <c r="AD99" s="80" t="str">
        <f>IF('2027'!$M$103="","",'2027'!$M$103)</f>
        <v/>
      </c>
      <c r="AE99" s="49" t="str">
        <f>IF('2027'!$N$103="","",'2027'!$N$103)</f>
        <v/>
      </c>
      <c r="AF99" s="80">
        <f>IF('2027'!$O$103="","",'2027'!$O$103)</f>
        <v>0</v>
      </c>
      <c r="AG99" s="86"/>
      <c r="AH99" s="86"/>
      <c r="AI99" s="80" t="str">
        <f>IF('2027'!$Q$103="","",'2027'!$Q$103)</f>
        <v/>
      </c>
      <c r="AJ99" s="80" t="str">
        <f t="shared" si="14"/>
        <v/>
      </c>
      <c r="AK99" s="80" t="str">
        <f t="shared" si="15"/>
        <v/>
      </c>
      <c r="AL99" s="80">
        <f>IF('2027'!$R$103="","",'2027'!$R$103)</f>
        <v>0</v>
      </c>
      <c r="AM99" s="89">
        <f t="shared" ref="AM99:AN99" si="136">IFERROR(AI99-AJ99,0)</f>
        <v>0</v>
      </c>
      <c r="AN99" s="89">
        <f t="shared" si="136"/>
        <v>0</v>
      </c>
      <c r="AO99" s="91">
        <f>IF('2027'!$S$103="","",'2027'!$S$103)</f>
        <v>0</v>
      </c>
      <c r="AP99" s="92">
        <f t="shared" si="17"/>
        <v>0</v>
      </c>
      <c r="AQ99" s="86" t="str">
        <f t="shared" si="18"/>
        <v/>
      </c>
      <c r="AR99" s="80" t="str">
        <f>IF('2027'!$T$103="","",'2027'!$T$103)</f>
        <v/>
      </c>
      <c r="AS99" s="80">
        <f>IF('2027'!$U$103="","",'2027'!$U$103)</f>
        <v>0</v>
      </c>
      <c r="AT99" s="86" t="str">
        <f t="shared" si="19"/>
        <v/>
      </c>
      <c r="AU99" s="86"/>
      <c r="AV99" s="96" t="str">
        <f t="shared" si="20"/>
        <v/>
      </c>
      <c r="AW99" s="97" t="str">
        <f t="shared" si="21"/>
        <v/>
      </c>
      <c r="AX99" s="97" t="str">
        <f t="shared" si="22"/>
        <v/>
      </c>
      <c r="AY99" s="60" t="str">
        <f t="shared" si="23"/>
        <v/>
      </c>
      <c r="AZ99" s="97" t="str">
        <f t="shared" si="24"/>
        <v/>
      </c>
      <c r="BA99" s="49" t="str">
        <f t="shared" si="25"/>
        <v/>
      </c>
      <c r="BB99" s="80" t="str">
        <f t="shared" si="26"/>
        <v/>
      </c>
      <c r="BC99" s="80" t="str">
        <f t="shared" si="27"/>
        <v/>
      </c>
      <c r="BD99" s="89">
        <f t="shared" si="28"/>
        <v>0</v>
      </c>
      <c r="BE99" s="60" t="str">
        <f t="shared" si="29"/>
        <v/>
      </c>
      <c r="BF99" s="102" t="str">
        <f t="shared" si="30"/>
        <v/>
      </c>
      <c r="BG99" s="103">
        <f t="shared" si="31"/>
        <v>-46258</v>
      </c>
      <c r="BH99" s="104" t="str">
        <f t="shared" si="32"/>
        <v/>
      </c>
      <c r="BI99" s="104" t="str">
        <f t="shared" si="33"/>
        <v/>
      </c>
      <c r="BJ99" s="104" t="str">
        <f t="shared" si="34"/>
        <v/>
      </c>
      <c r="BK99" s="104" t="str">
        <f t="shared" si="35"/>
        <v/>
      </c>
      <c r="BL99" s="104" t="str">
        <f t="shared" si="36"/>
        <v/>
      </c>
      <c r="BM99" s="57" t="str">
        <f>IF('2027'!$V$103="","",'2027'!$V$103)</f>
        <v/>
      </c>
      <c r="BN99" s="80" t="str">
        <f t="shared" si="37"/>
        <v/>
      </c>
      <c r="BO99" s="80" t="str">
        <f t="shared" si="38"/>
        <v/>
      </c>
      <c r="BP99" s="80" t="str">
        <f t="shared" si="39"/>
        <v/>
      </c>
      <c r="BQ99" s="80" t="str">
        <f t="shared" si="40"/>
        <v/>
      </c>
      <c r="BR99" s="80" t="str">
        <f t="shared" si="41"/>
        <v/>
      </c>
      <c r="BS99" s="116" t="str">
        <f t="shared" si="42"/>
        <v/>
      </c>
    </row>
    <row r="100" ht="15.0" customHeight="1">
      <c r="A100" s="49" t="str">
        <f>IF('2027'!$E$104="","",'2027'!$E$104)</f>
        <v/>
      </c>
      <c r="B100" s="50"/>
      <c r="C100" s="51" t="str">
        <f>IF('2027'!$B$104="","",'2027'!$B$104)</f>
        <v/>
      </c>
      <c r="D100" s="51" t="str">
        <f>IF('2027'!$C$104="","",'2027'!$C$104)</f>
        <v/>
      </c>
      <c r="E100" s="51" t="str">
        <f>IF('2027'!$D$104="","",'2027'!$D$104)</f>
        <v/>
      </c>
      <c r="F100" s="51" t="str">
        <f>IF('2027'!$E$104="","",'2027'!$E$104)</f>
        <v/>
      </c>
      <c r="G100" s="51" t="str">
        <f>IF('2027'!$F$104="","",'2027'!$F$104)</f>
        <v/>
      </c>
      <c r="H100" s="57" t="str">
        <f>IF('2027'!$H$104="","",'2027'!$H$104)</f>
        <v/>
      </c>
      <c r="I100" s="58"/>
      <c r="J100" s="51" t="str">
        <f>IF('2027'!$I$104="","",'2027'!$I$104)</f>
        <v/>
      </c>
      <c r="K100" s="51" t="str">
        <f t="shared" si="2"/>
        <v/>
      </c>
      <c r="L100" s="51" t="str">
        <f>IF('2027'!$J$104="","",'2027'!$J$104)</f>
        <v/>
      </c>
      <c r="M100" s="60" t="str">
        <f>IF('2027'!$K$104="","",'2027'!$K$104)</f>
        <v/>
      </c>
      <c r="N100" s="60" t="str">
        <f>IF('2027'!$L$104="","",'2027'!$L$104)</f>
        <v/>
      </c>
      <c r="O100" s="58" t="str">
        <f t="shared" si="3"/>
        <v/>
      </c>
      <c r="P100" s="58"/>
      <c r="Q100" s="51" t="str">
        <f t="shared" si="4"/>
        <v/>
      </c>
      <c r="R100" s="51" t="str">
        <f t="shared" si="5"/>
        <v/>
      </c>
      <c r="S100" s="58" t="str">
        <f t="shared" si="6"/>
        <v/>
      </c>
      <c r="T100" s="51" t="str">
        <f t="shared" si="7"/>
        <v/>
      </c>
      <c r="U100" s="50" t="str">
        <f t="shared" si="8"/>
        <v/>
      </c>
      <c r="V100" s="58" t="str">
        <f>IF('2027'!$G$104="","",'2027'!$G$104)</f>
        <v/>
      </c>
      <c r="W100" s="58"/>
      <c r="X100" s="51" t="str">
        <f t="shared" si="9"/>
        <v/>
      </c>
      <c r="Y100" s="51" t="str">
        <f t="shared" si="10"/>
        <v/>
      </c>
      <c r="Z100" s="80" t="str">
        <f t="shared" si="11"/>
        <v/>
      </c>
      <c r="AA100" s="60"/>
      <c r="AB100" s="51" t="str">
        <f t="shared" si="12"/>
        <v/>
      </c>
      <c r="AC100" s="58" t="str">
        <f t="shared" si="13"/>
        <v/>
      </c>
      <c r="AD100" s="80" t="str">
        <f>IF('2027'!$M$104="","",'2027'!$M$104)</f>
        <v/>
      </c>
      <c r="AE100" s="49" t="str">
        <f>IF('2027'!$N$104="","",'2027'!$N$104)</f>
        <v/>
      </c>
      <c r="AF100" s="80">
        <f>IF('2027'!$O$104="","",'2027'!$O$104)</f>
        <v>0</v>
      </c>
      <c r="AG100" s="86"/>
      <c r="AH100" s="86"/>
      <c r="AI100" s="80" t="str">
        <f>IF('2027'!$Q$104="","",'2027'!$Q$104)</f>
        <v/>
      </c>
      <c r="AJ100" s="80" t="str">
        <f t="shared" si="14"/>
        <v/>
      </c>
      <c r="AK100" s="80" t="str">
        <f t="shared" si="15"/>
        <v/>
      </c>
      <c r="AL100" s="80">
        <f>IF('2027'!$R$104="","",'2027'!$R$104)</f>
        <v>0</v>
      </c>
      <c r="AM100" s="89">
        <f t="shared" ref="AM100:AN100" si="137">IFERROR(AI100-AJ100,0)</f>
        <v>0</v>
      </c>
      <c r="AN100" s="89">
        <f t="shared" si="137"/>
        <v>0</v>
      </c>
      <c r="AO100" s="91">
        <f>IF('2027'!$S$104="","",'2027'!$S$104)</f>
        <v>0</v>
      </c>
      <c r="AP100" s="92">
        <f t="shared" si="17"/>
        <v>0</v>
      </c>
      <c r="AQ100" s="86" t="str">
        <f t="shared" si="18"/>
        <v/>
      </c>
      <c r="AR100" s="80" t="str">
        <f>IF('2027'!$T$104="","",'2027'!$T$104)</f>
        <v/>
      </c>
      <c r="AS100" s="80">
        <f>IF('2027'!$U$104="","",'2027'!$U$104)</f>
        <v>0</v>
      </c>
      <c r="AT100" s="86" t="str">
        <f t="shared" si="19"/>
        <v/>
      </c>
      <c r="AU100" s="86"/>
      <c r="AV100" s="96" t="str">
        <f t="shared" si="20"/>
        <v/>
      </c>
      <c r="AW100" s="97" t="str">
        <f t="shared" si="21"/>
        <v/>
      </c>
      <c r="AX100" s="97" t="str">
        <f t="shared" si="22"/>
        <v/>
      </c>
      <c r="AY100" s="60" t="str">
        <f t="shared" si="23"/>
        <v/>
      </c>
      <c r="AZ100" s="97" t="str">
        <f t="shared" si="24"/>
        <v/>
      </c>
      <c r="BA100" s="49" t="str">
        <f t="shared" si="25"/>
        <v/>
      </c>
      <c r="BB100" s="80" t="str">
        <f t="shared" si="26"/>
        <v/>
      </c>
      <c r="BC100" s="80" t="str">
        <f t="shared" si="27"/>
        <v/>
      </c>
      <c r="BD100" s="89">
        <f t="shared" si="28"/>
        <v>0</v>
      </c>
      <c r="BE100" s="60" t="str">
        <f t="shared" si="29"/>
        <v/>
      </c>
      <c r="BF100" s="102" t="str">
        <f t="shared" si="30"/>
        <v/>
      </c>
      <c r="BG100" s="103">
        <f t="shared" si="31"/>
        <v>-46258</v>
      </c>
      <c r="BH100" s="104" t="str">
        <f t="shared" si="32"/>
        <v/>
      </c>
      <c r="BI100" s="104" t="str">
        <f t="shared" si="33"/>
        <v/>
      </c>
      <c r="BJ100" s="104" t="str">
        <f t="shared" si="34"/>
        <v/>
      </c>
      <c r="BK100" s="104" t="str">
        <f t="shared" si="35"/>
        <v/>
      </c>
      <c r="BL100" s="104" t="str">
        <f t="shared" si="36"/>
        <v/>
      </c>
      <c r="BM100" s="57" t="str">
        <f>IF('2027'!$V$104="","",'2027'!$V$104)</f>
        <v/>
      </c>
      <c r="BN100" s="80" t="str">
        <f t="shared" si="37"/>
        <v/>
      </c>
      <c r="BO100" s="80" t="str">
        <f t="shared" si="38"/>
        <v/>
      </c>
      <c r="BP100" s="80" t="str">
        <f t="shared" si="39"/>
        <v/>
      </c>
      <c r="BQ100" s="80" t="str">
        <f t="shared" si="40"/>
        <v/>
      </c>
      <c r="BR100" s="80" t="str">
        <f t="shared" si="41"/>
        <v/>
      </c>
      <c r="BS100" s="116" t="str">
        <f t="shared" si="42"/>
        <v/>
      </c>
    </row>
    <row r="101" ht="15.0" customHeight="1">
      <c r="A101" s="49" t="str">
        <f>IF('2027'!$E$105="","",'2027'!$E$105)</f>
        <v/>
      </c>
      <c r="B101" s="50"/>
      <c r="C101" s="51" t="str">
        <f>IF('2027'!$B$105="","",'2027'!$B$105)</f>
        <v/>
      </c>
      <c r="D101" s="51" t="str">
        <f>IF('2027'!$C$105="","",'2027'!$C$105)</f>
        <v/>
      </c>
      <c r="E101" s="51" t="str">
        <f>IF('2027'!$D$105="","",'2027'!$D$105)</f>
        <v/>
      </c>
      <c r="F101" s="51" t="str">
        <f>IF('2027'!$E$105="","",'2027'!$E$105)</f>
        <v/>
      </c>
      <c r="G101" s="51" t="str">
        <f>IF('2027'!$F$105="","",'2027'!$F$105)</f>
        <v/>
      </c>
      <c r="H101" s="57" t="str">
        <f>IF('2027'!$H$105="","",'2027'!$H$105)</f>
        <v/>
      </c>
      <c r="I101" s="58"/>
      <c r="J101" s="51" t="str">
        <f>IF('2027'!$I$105="","",'2027'!$I$105)</f>
        <v/>
      </c>
      <c r="K101" s="51" t="str">
        <f t="shared" si="2"/>
        <v/>
      </c>
      <c r="L101" s="51" t="str">
        <f>IF('2027'!$J$105="","",'2027'!$J$105)</f>
        <v/>
      </c>
      <c r="M101" s="60" t="str">
        <f>IF('2027'!$K$105="","",'2027'!$K$105)</f>
        <v/>
      </c>
      <c r="N101" s="60" t="str">
        <f>IF('2027'!$L$105="","",'2027'!$L$105)</f>
        <v/>
      </c>
      <c r="O101" s="58" t="str">
        <f t="shared" si="3"/>
        <v/>
      </c>
      <c r="P101" s="58"/>
      <c r="Q101" s="51" t="str">
        <f t="shared" si="4"/>
        <v/>
      </c>
      <c r="R101" s="51" t="str">
        <f t="shared" si="5"/>
        <v/>
      </c>
      <c r="S101" s="58" t="str">
        <f t="shared" si="6"/>
        <v/>
      </c>
      <c r="T101" s="51" t="str">
        <f t="shared" si="7"/>
        <v/>
      </c>
      <c r="U101" s="50" t="str">
        <f t="shared" si="8"/>
        <v/>
      </c>
      <c r="V101" s="58" t="str">
        <f>IF('2027'!$G$105="","",'2027'!$G$105)</f>
        <v/>
      </c>
      <c r="W101" s="58"/>
      <c r="X101" s="51" t="str">
        <f t="shared" si="9"/>
        <v/>
      </c>
      <c r="Y101" s="51" t="str">
        <f t="shared" si="10"/>
        <v/>
      </c>
      <c r="Z101" s="80" t="str">
        <f t="shared" si="11"/>
        <v/>
      </c>
      <c r="AA101" s="60"/>
      <c r="AB101" s="51" t="str">
        <f t="shared" si="12"/>
        <v/>
      </c>
      <c r="AC101" s="58" t="str">
        <f t="shared" si="13"/>
        <v/>
      </c>
      <c r="AD101" s="80" t="str">
        <f>IF('2027'!$M$105="","",'2027'!$M$105)</f>
        <v/>
      </c>
      <c r="AE101" s="49" t="str">
        <f>IF('2027'!$N$105="","",'2027'!$N$105)</f>
        <v/>
      </c>
      <c r="AF101" s="80">
        <f>IF('2027'!$O$105="","",'2027'!$O$105)</f>
        <v>0</v>
      </c>
      <c r="AG101" s="86"/>
      <c r="AH101" s="86"/>
      <c r="AI101" s="80" t="str">
        <f>IF('2027'!$Q$105="","",'2027'!$Q$105)</f>
        <v/>
      </c>
      <c r="AJ101" s="80" t="str">
        <f t="shared" si="14"/>
        <v/>
      </c>
      <c r="AK101" s="80" t="str">
        <f t="shared" si="15"/>
        <v/>
      </c>
      <c r="AL101" s="80">
        <f>IF('2027'!$R$105="","",'2027'!$R$105)</f>
        <v>0</v>
      </c>
      <c r="AM101" s="89">
        <f t="shared" ref="AM101:AN101" si="138">IFERROR(AI101-AJ101,0)</f>
        <v>0</v>
      </c>
      <c r="AN101" s="89">
        <f t="shared" si="138"/>
        <v>0</v>
      </c>
      <c r="AO101" s="91">
        <f>IF('2027'!$S$105="","",'2027'!$S$105)</f>
        <v>0</v>
      </c>
      <c r="AP101" s="92">
        <f t="shared" si="17"/>
        <v>0</v>
      </c>
      <c r="AQ101" s="86" t="str">
        <f t="shared" si="18"/>
        <v/>
      </c>
      <c r="AR101" s="80" t="str">
        <f>IF('2027'!$T$105="","",'2027'!$T$105)</f>
        <v/>
      </c>
      <c r="AS101" s="80">
        <f>IF('2027'!$U$105="","",'2027'!$U$105)</f>
        <v>0</v>
      </c>
      <c r="AT101" s="86" t="str">
        <f t="shared" si="19"/>
        <v/>
      </c>
      <c r="AU101" s="86"/>
      <c r="AV101" s="96" t="str">
        <f t="shared" si="20"/>
        <v/>
      </c>
      <c r="AW101" s="97" t="str">
        <f t="shared" si="21"/>
        <v/>
      </c>
      <c r="AX101" s="97" t="str">
        <f t="shared" si="22"/>
        <v/>
      </c>
      <c r="AY101" s="60" t="str">
        <f t="shared" si="23"/>
        <v/>
      </c>
      <c r="AZ101" s="97" t="str">
        <f t="shared" si="24"/>
        <v/>
      </c>
      <c r="BA101" s="49" t="str">
        <f t="shared" si="25"/>
        <v/>
      </c>
      <c r="BB101" s="80" t="str">
        <f t="shared" si="26"/>
        <v/>
      </c>
      <c r="BC101" s="80" t="str">
        <f t="shared" si="27"/>
        <v/>
      </c>
      <c r="BD101" s="89">
        <f t="shared" si="28"/>
        <v>0</v>
      </c>
      <c r="BE101" s="60" t="str">
        <f t="shared" si="29"/>
        <v/>
      </c>
      <c r="BF101" s="102" t="str">
        <f t="shared" si="30"/>
        <v/>
      </c>
      <c r="BG101" s="103">
        <f t="shared" si="31"/>
        <v>-46258</v>
      </c>
      <c r="BH101" s="104" t="str">
        <f t="shared" si="32"/>
        <v/>
      </c>
      <c r="BI101" s="104" t="str">
        <f t="shared" si="33"/>
        <v/>
      </c>
      <c r="BJ101" s="104" t="str">
        <f t="shared" si="34"/>
        <v/>
      </c>
      <c r="BK101" s="104" t="str">
        <f t="shared" si="35"/>
        <v/>
      </c>
      <c r="BL101" s="104" t="str">
        <f t="shared" si="36"/>
        <v/>
      </c>
      <c r="BM101" s="57" t="str">
        <f>IF('2027'!$V$105="","",'2027'!$V$105)</f>
        <v/>
      </c>
      <c r="BN101" s="80" t="str">
        <f t="shared" si="37"/>
        <v/>
      </c>
      <c r="BO101" s="80" t="str">
        <f t="shared" si="38"/>
        <v/>
      </c>
      <c r="BP101" s="80" t="str">
        <f t="shared" si="39"/>
        <v/>
      </c>
      <c r="BQ101" s="80" t="str">
        <f t="shared" si="40"/>
        <v/>
      </c>
      <c r="BR101" s="80" t="str">
        <f t="shared" si="41"/>
        <v/>
      </c>
      <c r="BS101" s="116" t="str">
        <f t="shared" si="42"/>
        <v/>
      </c>
    </row>
    <row r="102" ht="15.0" customHeight="1">
      <c r="A102" s="49" t="str">
        <f>IF('2027'!$E$106="","",'2027'!$E$106)</f>
        <v/>
      </c>
      <c r="B102" s="50"/>
      <c r="C102" s="51" t="str">
        <f>IF('2027'!$B$106="","",'2027'!$B$106)</f>
        <v/>
      </c>
      <c r="D102" s="51" t="str">
        <f>IF('2027'!$C$106="","",'2027'!$C$106)</f>
        <v/>
      </c>
      <c r="E102" s="51" t="str">
        <f>IF('2027'!$D$106="","",'2027'!$D$106)</f>
        <v/>
      </c>
      <c r="F102" s="51" t="str">
        <f>IF('2027'!$E$106="","",'2027'!$E$106)</f>
        <v/>
      </c>
      <c r="G102" s="51" t="str">
        <f>IF('2027'!$F$106="","",'2027'!$F$106)</f>
        <v/>
      </c>
      <c r="H102" s="57" t="str">
        <f>IF('2027'!$H$106="","",'2027'!$H$106)</f>
        <v/>
      </c>
      <c r="I102" s="58"/>
      <c r="J102" s="51" t="str">
        <f>IF('2027'!$I$106="","",'2027'!$I$106)</f>
        <v/>
      </c>
      <c r="K102" s="51" t="str">
        <f t="shared" si="2"/>
        <v/>
      </c>
      <c r="L102" s="51" t="str">
        <f>IF('2027'!$J$106="","",'2027'!$J$106)</f>
        <v/>
      </c>
      <c r="M102" s="60" t="str">
        <f>IF('2027'!$K$106="","",'2027'!$K$106)</f>
        <v/>
      </c>
      <c r="N102" s="60" t="str">
        <f>IF('2027'!$L$106="","",'2027'!$L$106)</f>
        <v/>
      </c>
      <c r="O102" s="58" t="str">
        <f t="shared" si="3"/>
        <v/>
      </c>
      <c r="P102" s="58"/>
      <c r="Q102" s="51" t="str">
        <f t="shared" si="4"/>
        <v/>
      </c>
      <c r="R102" s="51" t="str">
        <f t="shared" si="5"/>
        <v/>
      </c>
      <c r="S102" s="58" t="str">
        <f t="shared" si="6"/>
        <v/>
      </c>
      <c r="T102" s="51" t="str">
        <f t="shared" si="7"/>
        <v/>
      </c>
      <c r="U102" s="50" t="str">
        <f t="shared" si="8"/>
        <v/>
      </c>
      <c r="V102" s="58" t="str">
        <f>IF('2027'!$G$106="","",'2027'!$G$106)</f>
        <v/>
      </c>
      <c r="W102" s="58"/>
      <c r="X102" s="51" t="str">
        <f t="shared" si="9"/>
        <v/>
      </c>
      <c r="Y102" s="51" t="str">
        <f t="shared" si="10"/>
        <v/>
      </c>
      <c r="Z102" s="80" t="str">
        <f t="shared" si="11"/>
        <v/>
      </c>
      <c r="AA102" s="60"/>
      <c r="AB102" s="51" t="str">
        <f t="shared" si="12"/>
        <v/>
      </c>
      <c r="AC102" s="58" t="str">
        <f t="shared" si="13"/>
        <v/>
      </c>
      <c r="AD102" s="80" t="str">
        <f>IF('2027'!$M$106="","",'2027'!$M$106)</f>
        <v/>
      </c>
      <c r="AE102" s="49" t="str">
        <f>IF('2027'!$N$106="","",'2027'!$N$106)</f>
        <v/>
      </c>
      <c r="AF102" s="80">
        <f>IF('2027'!$O$106="","",'2027'!$O$106)</f>
        <v>0</v>
      </c>
      <c r="AG102" s="86"/>
      <c r="AH102" s="86"/>
      <c r="AI102" s="80" t="str">
        <f>IF('2027'!$Q$106="","",'2027'!$Q$106)</f>
        <v/>
      </c>
      <c r="AJ102" s="80" t="str">
        <f t="shared" si="14"/>
        <v/>
      </c>
      <c r="AK102" s="80" t="str">
        <f t="shared" si="15"/>
        <v/>
      </c>
      <c r="AL102" s="80">
        <f>IF('2027'!$R$106="","",'2027'!$R$106)</f>
        <v>0</v>
      </c>
      <c r="AM102" s="89">
        <f t="shared" ref="AM102:AN102" si="139">IFERROR(AI102-AJ102,0)</f>
        <v>0</v>
      </c>
      <c r="AN102" s="89">
        <f t="shared" si="139"/>
        <v>0</v>
      </c>
      <c r="AO102" s="91">
        <f>IF('2027'!$S$106="","",'2027'!$S$106)</f>
        <v>0</v>
      </c>
      <c r="AP102" s="92">
        <f t="shared" si="17"/>
        <v>0</v>
      </c>
      <c r="AQ102" s="86" t="str">
        <f t="shared" si="18"/>
        <v/>
      </c>
      <c r="AR102" s="80" t="str">
        <f>IF('2027'!$T$106="","",'2027'!$T$106)</f>
        <v/>
      </c>
      <c r="AS102" s="80">
        <f>IF('2027'!$U$106="","",'2027'!$U$106)</f>
        <v>0</v>
      </c>
      <c r="AT102" s="86" t="str">
        <f t="shared" si="19"/>
        <v/>
      </c>
      <c r="AU102" s="86"/>
      <c r="AV102" s="96" t="str">
        <f t="shared" si="20"/>
        <v/>
      </c>
      <c r="AW102" s="97" t="str">
        <f t="shared" si="21"/>
        <v/>
      </c>
      <c r="AX102" s="97" t="str">
        <f t="shared" si="22"/>
        <v/>
      </c>
      <c r="AY102" s="60" t="str">
        <f t="shared" si="23"/>
        <v/>
      </c>
      <c r="AZ102" s="97" t="str">
        <f t="shared" si="24"/>
        <v/>
      </c>
      <c r="BA102" s="49" t="str">
        <f t="shared" si="25"/>
        <v/>
      </c>
      <c r="BB102" s="80" t="str">
        <f t="shared" si="26"/>
        <v/>
      </c>
      <c r="BC102" s="80" t="str">
        <f t="shared" si="27"/>
        <v/>
      </c>
      <c r="BD102" s="89">
        <f t="shared" si="28"/>
        <v>0</v>
      </c>
      <c r="BE102" s="60" t="str">
        <f t="shared" si="29"/>
        <v/>
      </c>
      <c r="BF102" s="102" t="str">
        <f t="shared" si="30"/>
        <v/>
      </c>
      <c r="BG102" s="103">
        <f t="shared" si="31"/>
        <v>-46258</v>
      </c>
      <c r="BH102" s="104" t="str">
        <f t="shared" si="32"/>
        <v/>
      </c>
      <c r="BI102" s="104" t="str">
        <f t="shared" si="33"/>
        <v/>
      </c>
      <c r="BJ102" s="104" t="str">
        <f t="shared" si="34"/>
        <v/>
      </c>
      <c r="BK102" s="104" t="str">
        <f t="shared" si="35"/>
        <v/>
      </c>
      <c r="BL102" s="104" t="str">
        <f t="shared" si="36"/>
        <v/>
      </c>
      <c r="BM102" s="57" t="str">
        <f>IF('2027'!$V$106="","",'2027'!$V$106)</f>
        <v/>
      </c>
      <c r="BN102" s="80" t="str">
        <f t="shared" si="37"/>
        <v/>
      </c>
      <c r="BO102" s="80" t="str">
        <f t="shared" si="38"/>
        <v/>
      </c>
      <c r="BP102" s="80" t="str">
        <f t="shared" si="39"/>
        <v/>
      </c>
      <c r="BQ102" s="80" t="str">
        <f t="shared" si="40"/>
        <v/>
      </c>
      <c r="BR102" s="80" t="str">
        <f t="shared" si="41"/>
        <v/>
      </c>
      <c r="BS102" s="116" t="str">
        <f t="shared" si="42"/>
        <v/>
      </c>
    </row>
    <row r="103" ht="15.0" customHeight="1">
      <c r="A103" s="49" t="str">
        <f>IF('2027'!$E$107="","",'2027'!$E$107)</f>
        <v/>
      </c>
      <c r="B103" s="50"/>
      <c r="C103" s="51" t="str">
        <f>IF('2027'!$B$107="","",'2027'!$B$107)</f>
        <v/>
      </c>
      <c r="D103" s="51" t="str">
        <f>IF('2027'!$C$107="","",'2027'!$C$107)</f>
        <v/>
      </c>
      <c r="E103" s="51" t="str">
        <f>IF('2027'!$D$107="","",'2027'!$D$107)</f>
        <v/>
      </c>
      <c r="F103" s="51" t="str">
        <f>IF('2027'!$E$107="","",'2027'!$E$107)</f>
        <v/>
      </c>
      <c r="G103" s="51" t="str">
        <f>IF('2027'!$F$107="","",'2027'!$F$107)</f>
        <v/>
      </c>
      <c r="H103" s="57" t="str">
        <f>IF('2027'!$H$107="","",'2027'!$H$107)</f>
        <v/>
      </c>
      <c r="I103" s="58"/>
      <c r="J103" s="51" t="str">
        <f>IF('2027'!$I$107="","",'2027'!$I$107)</f>
        <v/>
      </c>
      <c r="K103" s="51" t="str">
        <f t="shared" si="2"/>
        <v/>
      </c>
      <c r="L103" s="51" t="str">
        <f>IF('2027'!$J$107="","",'2027'!$J$107)</f>
        <v/>
      </c>
      <c r="M103" s="60" t="str">
        <f>IF('2027'!$K$107="","",'2027'!$K$107)</f>
        <v/>
      </c>
      <c r="N103" s="60" t="str">
        <f>IF('2027'!$L$107="","",'2027'!$L$107)</f>
        <v/>
      </c>
      <c r="O103" s="58" t="str">
        <f t="shared" si="3"/>
        <v/>
      </c>
      <c r="P103" s="58"/>
      <c r="Q103" s="51" t="str">
        <f t="shared" si="4"/>
        <v/>
      </c>
      <c r="R103" s="51" t="str">
        <f t="shared" si="5"/>
        <v/>
      </c>
      <c r="S103" s="58" t="str">
        <f t="shared" si="6"/>
        <v/>
      </c>
      <c r="T103" s="51" t="str">
        <f t="shared" si="7"/>
        <v/>
      </c>
      <c r="U103" s="50" t="str">
        <f t="shared" si="8"/>
        <v/>
      </c>
      <c r="V103" s="58" t="str">
        <f>IF('2027'!$G$107="","",'2027'!$G$107)</f>
        <v/>
      </c>
      <c r="W103" s="58"/>
      <c r="X103" s="51" t="str">
        <f t="shared" si="9"/>
        <v/>
      </c>
      <c r="Y103" s="51" t="str">
        <f t="shared" si="10"/>
        <v/>
      </c>
      <c r="Z103" s="80" t="str">
        <f t="shared" si="11"/>
        <v/>
      </c>
      <c r="AA103" s="60"/>
      <c r="AB103" s="51" t="str">
        <f t="shared" si="12"/>
        <v/>
      </c>
      <c r="AC103" s="58" t="str">
        <f t="shared" si="13"/>
        <v/>
      </c>
      <c r="AD103" s="80" t="str">
        <f>IF('2027'!$M$107="","",'2027'!$M$107)</f>
        <v/>
      </c>
      <c r="AE103" s="49" t="str">
        <f>IF('2027'!$N$107="","",'2027'!$N$107)</f>
        <v/>
      </c>
      <c r="AF103" s="80">
        <f>IF('2027'!$O$107="","",'2027'!$O$107)</f>
        <v>0</v>
      </c>
      <c r="AG103" s="86"/>
      <c r="AH103" s="86"/>
      <c r="AI103" s="80" t="str">
        <f>IF('2027'!$Q$107="","",'2027'!$Q$107)</f>
        <v/>
      </c>
      <c r="AJ103" s="80" t="str">
        <f t="shared" si="14"/>
        <v/>
      </c>
      <c r="AK103" s="80" t="str">
        <f t="shared" si="15"/>
        <v/>
      </c>
      <c r="AL103" s="80">
        <f>IF('2027'!$R$107="","",'2027'!$R$107)</f>
        <v>0</v>
      </c>
      <c r="AM103" s="89">
        <f t="shared" ref="AM103:AN103" si="140">IFERROR(AI103-AJ103,0)</f>
        <v>0</v>
      </c>
      <c r="AN103" s="89">
        <f t="shared" si="140"/>
        <v>0</v>
      </c>
      <c r="AO103" s="91">
        <f>IF('2027'!$S$107="","",'2027'!$S$107)</f>
        <v>0</v>
      </c>
      <c r="AP103" s="92">
        <f t="shared" si="17"/>
        <v>0</v>
      </c>
      <c r="AQ103" s="86" t="str">
        <f t="shared" si="18"/>
        <v/>
      </c>
      <c r="AR103" s="80" t="str">
        <f>IF('2027'!$T$107="","",'2027'!$T$107)</f>
        <v/>
      </c>
      <c r="AS103" s="80">
        <f>IF('2027'!$U$107="","",'2027'!$U$107)</f>
        <v>0</v>
      </c>
      <c r="AT103" s="86" t="str">
        <f t="shared" si="19"/>
        <v/>
      </c>
      <c r="AU103" s="86"/>
      <c r="AV103" s="96" t="str">
        <f t="shared" si="20"/>
        <v/>
      </c>
      <c r="AW103" s="97" t="str">
        <f t="shared" si="21"/>
        <v/>
      </c>
      <c r="AX103" s="97" t="str">
        <f t="shared" si="22"/>
        <v/>
      </c>
      <c r="AY103" s="60" t="str">
        <f t="shared" si="23"/>
        <v/>
      </c>
      <c r="AZ103" s="97" t="str">
        <f t="shared" si="24"/>
        <v/>
      </c>
      <c r="BA103" s="49" t="str">
        <f t="shared" si="25"/>
        <v/>
      </c>
      <c r="BB103" s="80" t="str">
        <f t="shared" si="26"/>
        <v/>
      </c>
      <c r="BC103" s="80" t="str">
        <f t="shared" si="27"/>
        <v/>
      </c>
      <c r="BD103" s="89">
        <f t="shared" si="28"/>
        <v>0</v>
      </c>
      <c r="BE103" s="60" t="str">
        <f t="shared" si="29"/>
        <v/>
      </c>
      <c r="BF103" s="102" t="str">
        <f t="shared" si="30"/>
        <v/>
      </c>
      <c r="BG103" s="103">
        <f t="shared" si="31"/>
        <v>-46258</v>
      </c>
      <c r="BH103" s="104" t="str">
        <f t="shared" si="32"/>
        <v/>
      </c>
      <c r="BI103" s="104" t="str">
        <f t="shared" si="33"/>
        <v/>
      </c>
      <c r="BJ103" s="104" t="str">
        <f t="shared" si="34"/>
        <v/>
      </c>
      <c r="BK103" s="104" t="str">
        <f t="shared" si="35"/>
        <v/>
      </c>
      <c r="BL103" s="104" t="str">
        <f t="shared" si="36"/>
        <v/>
      </c>
      <c r="BM103" s="57" t="str">
        <f>IF('2027'!$V$107="","",'2027'!$V$107)</f>
        <v/>
      </c>
      <c r="BN103" s="80" t="str">
        <f t="shared" si="37"/>
        <v/>
      </c>
      <c r="BO103" s="80" t="str">
        <f t="shared" si="38"/>
        <v/>
      </c>
      <c r="BP103" s="80" t="str">
        <f t="shared" si="39"/>
        <v/>
      </c>
      <c r="BQ103" s="80" t="str">
        <f t="shared" si="40"/>
        <v/>
      </c>
      <c r="BR103" s="80" t="str">
        <f t="shared" si="41"/>
        <v/>
      </c>
      <c r="BS103" s="116" t="str">
        <f t="shared" si="42"/>
        <v/>
      </c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 t="str">
        <f t="shared" si="2"/>
        <v/>
      </c>
      <c r="L104" s="5"/>
      <c r="M104" s="5"/>
      <c r="N104" s="5"/>
      <c r="O104" s="5" t="str">
        <f t="shared" si="3"/>
        <v/>
      </c>
      <c r="P104" s="5"/>
      <c r="Q104" s="5" t="str">
        <f t="shared" si="4"/>
        <v/>
      </c>
      <c r="R104" s="5" t="str">
        <f t="shared" si="5"/>
        <v/>
      </c>
      <c r="S104" s="5" t="str">
        <f t="shared" si="6"/>
        <v/>
      </c>
      <c r="T104" s="5" t="str">
        <f t="shared" si="7"/>
        <v/>
      </c>
      <c r="U104" s="5" t="str">
        <f t="shared" si="8"/>
        <v/>
      </c>
      <c r="V104" s="5" t="str">
        <f>IF('2027'!$G$108="","",'2027'!$G$108)</f>
        <v/>
      </c>
      <c r="W104" s="5"/>
      <c r="X104" s="5" t="str">
        <f t="shared" si="9"/>
        <v/>
      </c>
      <c r="Y104" s="5" t="str">
        <f t="shared" si="10"/>
        <v/>
      </c>
      <c r="Z104" s="5" t="str">
        <f t="shared" si="11"/>
        <v/>
      </c>
      <c r="AA104" s="5"/>
      <c r="AB104" s="5" t="str">
        <f t="shared" si="12"/>
        <v/>
      </c>
      <c r="AC104" s="5" t="str">
        <f t="shared" si="13"/>
        <v/>
      </c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 t="str">
        <f t="shared" si="18"/>
        <v/>
      </c>
      <c r="AR104" s="5"/>
      <c r="AS104" s="5"/>
      <c r="AT104" s="5" t="str">
        <f t="shared" si="19"/>
        <v/>
      </c>
      <c r="AU104" s="5"/>
      <c r="AV104" s="5" t="str">
        <f t="shared" si="20"/>
        <v/>
      </c>
      <c r="AW104" s="5" t="str">
        <f t="shared" si="21"/>
        <v/>
      </c>
      <c r="AX104" s="5" t="str">
        <f t="shared" si="22"/>
        <v/>
      </c>
      <c r="AY104" s="5"/>
      <c r="AZ104" s="5" t="str">
        <f t="shared" si="24"/>
        <v/>
      </c>
      <c r="BA104" s="5"/>
      <c r="BB104" s="5"/>
      <c r="BC104" s="5"/>
      <c r="BD104" s="5"/>
      <c r="BE104" s="5"/>
      <c r="BF104" s="5" t="str">
        <f t="shared" si="30"/>
        <v/>
      </c>
      <c r="BG104" s="5"/>
      <c r="BH104" s="5"/>
      <c r="BI104" s="5"/>
      <c r="BJ104" s="5"/>
      <c r="BK104" s="5"/>
      <c r="BL104" s="5"/>
      <c r="BM104" s="5"/>
      <c r="BN104" s="80" t="str">
        <f t="shared" si="37"/>
        <v/>
      </c>
      <c r="BO104" s="80" t="str">
        <f t="shared" si="38"/>
        <v/>
      </c>
      <c r="BP104" s="80" t="str">
        <f t="shared" si="39"/>
        <v/>
      </c>
      <c r="BQ104" s="80" t="str">
        <f t="shared" si="40"/>
        <v/>
      </c>
      <c r="BR104" s="80" t="str">
        <f t="shared" si="41"/>
        <v/>
      </c>
      <c r="BS104" s="116" t="str">
        <f t="shared" si="42"/>
        <v/>
      </c>
    </row>
    <row r="105" ht="15.0" customHeight="1">
      <c r="A105" s="202"/>
      <c r="B105" s="5"/>
      <c r="C105" s="5"/>
      <c r="D105" s="5"/>
      <c r="E105" s="5"/>
      <c r="F105" s="5"/>
      <c r="G105" s="5"/>
      <c r="H105" s="5"/>
      <c r="I105" s="5"/>
      <c r="J105" s="5"/>
      <c r="K105" s="5" t="str">
        <f t="shared" si="2"/>
        <v/>
      </c>
      <c r="L105" s="5"/>
      <c r="M105" s="5"/>
      <c r="N105" s="5"/>
      <c r="O105" s="5" t="str">
        <f t="shared" si="3"/>
        <v/>
      </c>
      <c r="P105" s="5"/>
      <c r="Q105" s="5" t="str">
        <f t="shared" si="4"/>
        <v/>
      </c>
      <c r="R105" s="5" t="str">
        <f t="shared" si="5"/>
        <v/>
      </c>
      <c r="S105" s="5" t="str">
        <f t="shared" si="6"/>
        <v/>
      </c>
      <c r="T105" s="5" t="str">
        <f t="shared" si="7"/>
        <v/>
      </c>
      <c r="U105" s="5" t="str">
        <f t="shared" si="8"/>
        <v/>
      </c>
      <c r="V105" s="5" t="str">
        <f>IF('2027'!$G$109="","",'2027'!$G$109)</f>
        <v/>
      </c>
      <c r="W105" s="5"/>
      <c r="X105" s="5" t="str">
        <f t="shared" si="9"/>
        <v/>
      </c>
      <c r="Y105" s="5" t="str">
        <f t="shared" si="10"/>
        <v/>
      </c>
      <c r="Z105" s="5" t="str">
        <f t="shared" si="11"/>
        <v/>
      </c>
      <c r="AA105" s="5"/>
      <c r="AB105" s="5" t="str">
        <f t="shared" si="12"/>
        <v/>
      </c>
      <c r="AC105" s="5" t="str">
        <f t="shared" si="13"/>
        <v/>
      </c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 t="str">
        <f t="shared" si="18"/>
        <v/>
      </c>
      <c r="AR105" s="5"/>
      <c r="AS105" s="5"/>
      <c r="AT105" s="5" t="str">
        <f t="shared" si="19"/>
        <v/>
      </c>
      <c r="AU105" s="5"/>
      <c r="AV105" s="5" t="str">
        <f t="shared" si="20"/>
        <v/>
      </c>
      <c r="AW105" s="5" t="str">
        <f t="shared" si="21"/>
        <v/>
      </c>
      <c r="AX105" s="5" t="str">
        <f t="shared" si="22"/>
        <v/>
      </c>
      <c r="AY105" s="5"/>
      <c r="AZ105" s="5" t="str">
        <f t="shared" si="24"/>
        <v/>
      </c>
      <c r="BA105" s="5"/>
      <c r="BB105" s="5"/>
      <c r="BC105" s="5"/>
      <c r="BD105" s="5"/>
      <c r="BE105" s="5"/>
      <c r="BF105" s="5" t="str">
        <f t="shared" si="30"/>
        <v/>
      </c>
      <c r="BG105" s="5"/>
      <c r="BH105" s="5"/>
      <c r="BI105" s="5"/>
      <c r="BJ105" s="5"/>
      <c r="BK105" s="5"/>
      <c r="BL105" s="5"/>
      <c r="BM105" s="5"/>
      <c r="BN105" s="80" t="str">
        <f t="shared" si="37"/>
        <v/>
      </c>
      <c r="BO105" s="80" t="str">
        <f t="shared" si="38"/>
        <v/>
      </c>
      <c r="BP105" s="80" t="str">
        <f t="shared" si="39"/>
        <v/>
      </c>
      <c r="BQ105" s="80" t="str">
        <f t="shared" si="40"/>
        <v/>
      </c>
      <c r="BR105" s="80" t="str">
        <f t="shared" si="41"/>
        <v/>
      </c>
      <c r="BS105" s="116" t="str">
        <f t="shared" si="42"/>
        <v/>
      </c>
    </row>
    <row r="106" ht="15.0" customHeight="1">
      <c r="A106" s="203"/>
      <c r="B106" s="195" t="s">
        <v>463</v>
      </c>
      <c r="C106" s="5"/>
      <c r="D106" s="5"/>
      <c r="E106" s="5"/>
      <c r="F106" s="5"/>
      <c r="G106" s="5"/>
      <c r="H106" s="5"/>
      <c r="I106" s="5"/>
      <c r="J106" s="5"/>
      <c r="K106" s="5" t="str">
        <f t="shared" si="2"/>
        <v/>
      </c>
      <c r="L106" s="5"/>
      <c r="M106" s="5"/>
      <c r="N106" s="5"/>
      <c r="O106" s="5" t="str">
        <f t="shared" si="3"/>
        <v>SMD</v>
      </c>
      <c r="P106" s="5"/>
      <c r="Q106" s="5" t="str">
        <f t="shared" si="4"/>
        <v/>
      </c>
      <c r="R106" s="5" t="str">
        <f t="shared" si="5"/>
        <v/>
      </c>
      <c r="S106" s="5" t="str">
        <f t="shared" si="6"/>
        <v/>
      </c>
      <c r="T106" s="5" t="str">
        <f t="shared" si="7"/>
        <v/>
      </c>
      <c r="U106" s="5" t="str">
        <f t="shared" si="8"/>
        <v/>
      </c>
      <c r="V106" s="5" t="str">
        <f>IF('2027'!$G$110="","",'2027'!$G$110)</f>
        <v/>
      </c>
      <c r="W106" s="5"/>
      <c r="X106" s="5" t="str">
        <f t="shared" si="9"/>
        <v/>
      </c>
      <c r="Y106" s="5" t="str">
        <f t="shared" si="10"/>
        <v/>
      </c>
      <c r="Z106" s="5" t="str">
        <f t="shared" si="11"/>
        <v/>
      </c>
      <c r="AA106" s="5"/>
      <c r="AB106" s="5" t="str">
        <f t="shared" si="12"/>
        <v/>
      </c>
      <c r="AC106" s="5">
        <f t="shared" si="13"/>
        <v>2026</v>
      </c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 t="str">
        <f t="shared" si="18"/>
        <v/>
      </c>
      <c r="AR106" s="5"/>
      <c r="AS106" s="5"/>
      <c r="AT106" s="5" t="str">
        <f t="shared" si="19"/>
        <v/>
      </c>
      <c r="AU106" s="5"/>
      <c r="AV106" s="5" t="str">
        <f t="shared" si="20"/>
        <v/>
      </c>
      <c r="AW106" s="5" t="str">
        <f t="shared" si="21"/>
        <v/>
      </c>
      <c r="AX106" s="5" t="str">
        <f t="shared" si="22"/>
        <v/>
      </c>
      <c r="AY106" s="5"/>
      <c r="AZ106" s="5" t="str">
        <f t="shared" si="24"/>
        <v/>
      </c>
      <c r="BA106" s="5"/>
      <c r="BB106" s="5"/>
      <c r="BC106" s="5"/>
      <c r="BD106" s="5"/>
      <c r="BE106" s="5"/>
      <c r="BF106" s="5" t="str">
        <f t="shared" si="30"/>
        <v/>
      </c>
      <c r="BG106" s="5"/>
      <c r="BH106" s="5"/>
      <c r="BI106" s="5"/>
      <c r="BJ106" s="5"/>
      <c r="BK106" s="5"/>
      <c r="BL106" s="5"/>
      <c r="BM106" s="5"/>
      <c r="BN106" s="80" t="str">
        <f t="shared" si="37"/>
        <v/>
      </c>
      <c r="BO106" s="80" t="str">
        <f t="shared" si="38"/>
        <v/>
      </c>
      <c r="BP106" s="80" t="str">
        <f t="shared" si="39"/>
        <v/>
      </c>
      <c r="BQ106" s="80" t="str">
        <f t="shared" si="40"/>
        <v/>
      </c>
      <c r="BR106" s="80" t="str">
        <f t="shared" si="41"/>
        <v/>
      </c>
      <c r="BS106" s="116" t="str">
        <f t="shared" si="42"/>
        <v/>
      </c>
    </row>
    <row r="107" ht="15.0" customHeight="1">
      <c r="A107" s="173"/>
      <c r="B107" s="195" t="s">
        <v>464</v>
      </c>
      <c r="C107" s="5"/>
      <c r="D107" s="5"/>
      <c r="E107" s="5"/>
      <c r="F107" s="5"/>
      <c r="G107" s="5"/>
      <c r="H107" s="5"/>
      <c r="I107" s="5"/>
      <c r="J107" s="5"/>
      <c r="K107" s="5" t="str">
        <f t="shared" si="2"/>
        <v/>
      </c>
      <c r="L107" s="5"/>
      <c r="M107" s="5"/>
      <c r="N107" s="5"/>
      <c r="O107" s="5" t="str">
        <f t="shared" si="3"/>
        <v>SMD</v>
      </c>
      <c r="P107" s="5"/>
      <c r="Q107" s="5" t="str">
        <f t="shared" si="4"/>
        <v/>
      </c>
      <c r="R107" s="5" t="str">
        <f t="shared" si="5"/>
        <v/>
      </c>
      <c r="S107" s="5" t="str">
        <f t="shared" si="6"/>
        <v/>
      </c>
      <c r="T107" s="5" t="str">
        <f t="shared" si="7"/>
        <v/>
      </c>
      <c r="U107" s="5" t="str">
        <f t="shared" si="8"/>
        <v/>
      </c>
      <c r="V107" s="5" t="str">
        <f>IF('2027'!$G$111="","",'2027'!$G$111)</f>
        <v/>
      </c>
      <c r="W107" s="5"/>
      <c r="X107" s="5" t="str">
        <f t="shared" si="9"/>
        <v/>
      </c>
      <c r="Y107" s="5" t="str">
        <f t="shared" si="10"/>
        <v/>
      </c>
      <c r="Z107" s="5" t="str">
        <f t="shared" si="11"/>
        <v/>
      </c>
      <c r="AA107" s="5"/>
      <c r="AB107" s="5" t="str">
        <f t="shared" si="12"/>
        <v/>
      </c>
      <c r="AC107" s="5">
        <f t="shared" si="13"/>
        <v>2026</v>
      </c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 t="str">
        <f t="shared" si="18"/>
        <v/>
      </c>
      <c r="AR107" s="5"/>
      <c r="AS107" s="5"/>
      <c r="AT107" s="5" t="str">
        <f t="shared" si="19"/>
        <v/>
      </c>
      <c r="AU107" s="5"/>
      <c r="AV107" s="5" t="str">
        <f t="shared" si="20"/>
        <v/>
      </c>
      <c r="AW107" s="5" t="str">
        <f t="shared" si="21"/>
        <v/>
      </c>
      <c r="AX107" s="5" t="str">
        <f t="shared" si="22"/>
        <v/>
      </c>
      <c r="AY107" s="5"/>
      <c r="AZ107" s="5" t="str">
        <f t="shared" si="24"/>
        <v/>
      </c>
      <c r="BA107" s="5"/>
      <c r="BB107" s="5"/>
      <c r="BC107" s="5"/>
      <c r="BD107" s="5"/>
      <c r="BE107" s="5"/>
      <c r="BF107" s="5" t="str">
        <f t="shared" si="30"/>
        <v/>
      </c>
      <c r="BG107" s="5"/>
      <c r="BH107" s="5"/>
      <c r="BI107" s="5"/>
      <c r="BJ107" s="5"/>
      <c r="BK107" s="5"/>
      <c r="BL107" s="5"/>
      <c r="BM107" s="5"/>
      <c r="BN107" s="80" t="str">
        <f t="shared" si="37"/>
        <v/>
      </c>
      <c r="BO107" s="80" t="str">
        <f t="shared" si="38"/>
        <v/>
      </c>
      <c r="BP107" s="80" t="str">
        <f t="shared" si="39"/>
        <v/>
      </c>
      <c r="BQ107" s="80" t="str">
        <f t="shared" si="40"/>
        <v/>
      </c>
      <c r="BR107" s="80" t="str">
        <f t="shared" si="41"/>
        <v/>
      </c>
      <c r="BS107" s="116" t="str">
        <f t="shared" si="42"/>
        <v/>
      </c>
    </row>
    <row r="108" ht="15.0" customHeight="1">
      <c r="A108" s="204"/>
      <c r="B108" s="195" t="s">
        <v>465</v>
      </c>
      <c r="C108" s="5"/>
      <c r="D108" s="5"/>
      <c r="E108" s="5"/>
      <c r="F108" s="5"/>
      <c r="G108" s="5"/>
      <c r="H108" s="5"/>
      <c r="I108" s="5"/>
      <c r="J108" s="5"/>
      <c r="K108" s="5" t="str">
        <f t="shared" si="2"/>
        <v/>
      </c>
      <c r="L108" s="5"/>
      <c r="M108" s="5"/>
      <c r="N108" s="5"/>
      <c r="O108" s="5" t="str">
        <f t="shared" si="3"/>
        <v>SMD</v>
      </c>
      <c r="P108" s="5"/>
      <c r="Q108" s="5" t="str">
        <f t="shared" si="4"/>
        <v/>
      </c>
      <c r="R108" s="5" t="str">
        <f t="shared" si="5"/>
        <v/>
      </c>
      <c r="S108" s="5" t="str">
        <f t="shared" si="6"/>
        <v/>
      </c>
      <c r="T108" s="5" t="str">
        <f t="shared" si="7"/>
        <v/>
      </c>
      <c r="U108" s="5" t="str">
        <f t="shared" si="8"/>
        <v/>
      </c>
      <c r="V108" s="5" t="str">
        <f>IF('2027'!$G$112="","",'2027'!$G$112)</f>
        <v/>
      </c>
      <c r="W108" s="5"/>
      <c r="X108" s="5" t="str">
        <f t="shared" si="9"/>
        <v/>
      </c>
      <c r="Y108" s="5" t="str">
        <f t="shared" si="10"/>
        <v/>
      </c>
      <c r="Z108" s="5" t="str">
        <f t="shared" si="11"/>
        <v/>
      </c>
      <c r="AA108" s="5"/>
      <c r="AB108" s="5" t="str">
        <f t="shared" si="12"/>
        <v/>
      </c>
      <c r="AC108" s="5">
        <f t="shared" si="13"/>
        <v>2026</v>
      </c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 t="str">
        <f t="shared" si="18"/>
        <v/>
      </c>
      <c r="AR108" s="5"/>
      <c r="AS108" s="5"/>
      <c r="AT108" s="5" t="str">
        <f t="shared" si="19"/>
        <v/>
      </c>
      <c r="AU108" s="5"/>
      <c r="AV108" s="5" t="str">
        <f t="shared" si="20"/>
        <v/>
      </c>
      <c r="AW108" s="5" t="str">
        <f t="shared" si="21"/>
        <v/>
      </c>
      <c r="AX108" s="5" t="str">
        <f t="shared" si="22"/>
        <v/>
      </c>
      <c r="AY108" s="5"/>
      <c r="AZ108" s="5" t="str">
        <f t="shared" si="24"/>
        <v/>
      </c>
      <c r="BA108" s="5"/>
      <c r="BB108" s="5"/>
      <c r="BC108" s="5"/>
      <c r="BD108" s="5"/>
      <c r="BE108" s="5"/>
      <c r="BF108" s="5" t="str">
        <f t="shared" si="30"/>
        <v/>
      </c>
      <c r="BG108" s="5"/>
      <c r="BH108" s="5"/>
      <c r="BI108" s="5"/>
      <c r="BJ108" s="5"/>
      <c r="BK108" s="5"/>
      <c r="BL108" s="5"/>
      <c r="BM108" s="5"/>
      <c r="BN108" s="80" t="str">
        <f t="shared" si="37"/>
        <v/>
      </c>
      <c r="BO108" s="80" t="str">
        <f t="shared" si="38"/>
        <v/>
      </c>
      <c r="BP108" s="80" t="str">
        <f t="shared" si="39"/>
        <v/>
      </c>
      <c r="BQ108" s="80" t="str">
        <f t="shared" si="40"/>
        <v/>
      </c>
      <c r="BR108" s="80" t="str">
        <f t="shared" si="41"/>
        <v/>
      </c>
      <c r="BS108" s="116" t="str">
        <f t="shared" si="42"/>
        <v/>
      </c>
    </row>
    <row r="109" ht="15.0" customHeight="1">
      <c r="A109" s="205"/>
      <c r="B109" s="195" t="s">
        <v>466</v>
      </c>
      <c r="C109" s="5"/>
      <c r="D109" s="5"/>
      <c r="E109" s="5"/>
      <c r="F109" s="5"/>
      <c r="G109" s="5"/>
      <c r="H109" s="5"/>
      <c r="I109" s="5"/>
      <c r="J109" s="5"/>
      <c r="K109" s="5" t="str">
        <f t="shared" si="2"/>
        <v/>
      </c>
      <c r="L109" s="5"/>
      <c r="M109" s="5"/>
      <c r="N109" s="5"/>
      <c r="O109" s="5" t="str">
        <f t="shared" si="3"/>
        <v>SMD</v>
      </c>
      <c r="P109" s="5"/>
      <c r="Q109" s="5" t="str">
        <f t="shared" si="4"/>
        <v/>
      </c>
      <c r="R109" s="5" t="str">
        <f t="shared" si="5"/>
        <v/>
      </c>
      <c r="S109" s="5" t="str">
        <f t="shared" si="6"/>
        <v/>
      </c>
      <c r="T109" s="5" t="str">
        <f t="shared" si="7"/>
        <v/>
      </c>
      <c r="U109" s="5" t="str">
        <f t="shared" si="8"/>
        <v/>
      </c>
      <c r="V109" s="5" t="str">
        <f>IF('2027'!$G$113="","",'2027'!$G$113)</f>
        <v/>
      </c>
      <c r="W109" s="5"/>
      <c r="X109" s="5" t="str">
        <f t="shared" si="9"/>
        <v/>
      </c>
      <c r="Y109" s="5" t="str">
        <f t="shared" si="10"/>
        <v/>
      </c>
      <c r="Z109" s="5" t="str">
        <f t="shared" si="11"/>
        <v/>
      </c>
      <c r="AA109" s="5"/>
      <c r="AB109" s="5" t="str">
        <f t="shared" si="12"/>
        <v/>
      </c>
      <c r="AC109" s="5">
        <f t="shared" si="13"/>
        <v>2026</v>
      </c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 t="str">
        <f t="shared" si="18"/>
        <v/>
      </c>
      <c r="AR109" s="5"/>
      <c r="AS109" s="5"/>
      <c r="AT109" s="5" t="str">
        <f t="shared" si="19"/>
        <v/>
      </c>
      <c r="AU109" s="5"/>
      <c r="AV109" s="5" t="str">
        <f t="shared" si="20"/>
        <v/>
      </c>
      <c r="AW109" s="5" t="str">
        <f t="shared" si="21"/>
        <v/>
      </c>
      <c r="AX109" s="5" t="str">
        <f t="shared" si="22"/>
        <v/>
      </c>
      <c r="AY109" s="5"/>
      <c r="AZ109" s="5" t="str">
        <f t="shared" si="24"/>
        <v/>
      </c>
      <c r="BA109" s="5"/>
      <c r="BB109" s="5"/>
      <c r="BC109" s="5"/>
      <c r="BD109" s="5"/>
      <c r="BE109" s="5"/>
      <c r="BF109" s="5" t="str">
        <f t="shared" si="30"/>
        <v/>
      </c>
      <c r="BG109" s="5"/>
      <c r="BH109" s="5"/>
      <c r="BI109" s="5"/>
      <c r="BJ109" s="5"/>
      <c r="BK109" s="5"/>
      <c r="BL109" s="5"/>
      <c r="BM109" s="5"/>
      <c r="BN109" s="80" t="str">
        <f t="shared" si="37"/>
        <v/>
      </c>
      <c r="BO109" s="80" t="str">
        <f t="shared" si="38"/>
        <v/>
      </c>
      <c r="BP109" s="80" t="str">
        <f t="shared" si="39"/>
        <v/>
      </c>
      <c r="BQ109" s="80" t="str">
        <f t="shared" si="40"/>
        <v/>
      </c>
      <c r="BR109" s="80" t="str">
        <f t="shared" si="41"/>
        <v/>
      </c>
      <c r="BS109" s="116" t="str">
        <f t="shared" si="42"/>
        <v/>
      </c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</row>
  </sheetData>
  <mergeCells count="6">
    <mergeCell ref="A2:AB2"/>
    <mergeCell ref="AC2:AS2"/>
    <mergeCell ref="AT2:AZ2"/>
    <mergeCell ref="BA2:BF2"/>
    <mergeCell ref="BG2:BM2"/>
    <mergeCell ref="BN2:BS2"/>
  </mergeCells>
  <dataValidations>
    <dataValidation type="list" allowBlank="1" showInputMessage="1" showErrorMessage="1" prompt="Entrada inválida - Escolha uma opção da lista suspensa." sqref="U4:U103">
      <formula1>"Corrente,Capital"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" t="s">
        <v>370</v>
      </c>
      <c r="H1" s="127" t="str">
        <f>TRIM(MID('2027'!$A$1,FIND(":",'2027'!$A$1)+2,200))</f>
        <v>Superintendência Municipal de Distritos - SMD</v>
      </c>
      <c r="K1" s="128"/>
      <c r="L1" s="129"/>
    </row>
    <row r="2" ht="13.5" customHeight="1">
      <c r="A2" s="5"/>
      <c r="B2" s="5"/>
      <c r="C2" s="5"/>
      <c r="D2" s="5"/>
      <c r="E2" s="5"/>
      <c r="F2" s="5"/>
      <c r="G2" s="5"/>
      <c r="H2" s="128" t="s">
        <v>371</v>
      </c>
      <c r="J2" s="130"/>
      <c r="K2" s="5"/>
      <c r="L2" s="131" t="str">
        <f>IFERROR(MATCH($J$2,'2027'!$E$8:$E$107,0),"")</f>
        <v/>
      </c>
    </row>
    <row r="3" ht="12.75" customHeight="1">
      <c r="A3" s="22" t="s">
        <v>372</v>
      </c>
      <c r="B3" s="4"/>
      <c r="C3" s="4"/>
      <c r="D3" s="4"/>
      <c r="E3" s="4"/>
      <c r="F3" s="4"/>
      <c r="G3" s="4"/>
      <c r="H3" s="4"/>
      <c r="I3" s="4"/>
      <c r="J3" s="4"/>
      <c r="K3" s="6"/>
      <c r="L3" s="5"/>
    </row>
    <row r="4" ht="15.0" customHeight="1">
      <c r="A4" s="132" t="s">
        <v>373</v>
      </c>
      <c r="B4" s="133" t="str">
        <f t="array" ref="B4">IF($J$2="","",IFERROR(IF(INDEX('2027'!$A:$A,$L$2+7)="","",INDEX('2027'!$A:$A,$L$2+7)),""))</f>
        <v/>
      </c>
      <c r="C4" s="16"/>
      <c r="D4" s="134" t="s">
        <v>39</v>
      </c>
      <c r="E4" s="6"/>
      <c r="F4" s="135" t="str">
        <f t="array" ref="F4">IF($J$2="","",IFERROR(IF(INDEX('2027'!$E:$E,$L$2+7)="","",INDEX('2027'!$E:$E,$L$2+7)),""))</f>
        <v/>
      </c>
      <c r="G4" s="16"/>
      <c r="H4" s="134" t="s">
        <v>67</v>
      </c>
      <c r="I4" s="6"/>
      <c r="J4" s="136"/>
      <c r="K4" s="16"/>
      <c r="L4" s="5"/>
    </row>
    <row r="5" ht="15.0" customHeight="1">
      <c r="A5" s="132" t="s">
        <v>43</v>
      </c>
      <c r="B5" s="137" t="str">
        <f t="array" ref="B5">IF($J$2="","",IFERROR(IF(INDEX('2027'!$B:$B,$L$2+7)="","",INDEX('2027'!$B:$B,$L$2+7)),""))</f>
        <v/>
      </c>
      <c r="C5" s="16"/>
      <c r="D5" s="134" t="s">
        <v>374</v>
      </c>
      <c r="E5" s="6"/>
      <c r="F5" s="138" t="str">
        <f t="array" ref="F5">IF($J$2="","",IFERROR(IF(INDEX('2027'!$C:$C,$L$2+7)="","",INDEX('2027'!$C:$C,$L$2+7)),""))</f>
        <v/>
      </c>
      <c r="G5" s="16"/>
      <c r="H5" s="134" t="s">
        <v>375</v>
      </c>
      <c r="I5" s="6"/>
      <c r="J5" s="137" t="str">
        <f t="array" ref="J5">IF($J$2="","",IFERROR(IF(INDEX('2027'!$D:$D,$L$2+7)="","",INDEX('2027'!$D:$D,$L$2+7)),""))</f>
        <v/>
      </c>
      <c r="K5" s="16"/>
      <c r="L5" s="5"/>
    </row>
    <row r="6" ht="15.0" customHeight="1">
      <c r="A6" s="132" t="s">
        <v>21</v>
      </c>
      <c r="B6" s="139" t="str">
        <f t="array" ref="B6">IF($J$2="","",IFERROR(IF(INDEX('2027'!$F:$F,$L$2+7)="","",INDEX('2027'!$F:$F,$L$2+7)),""))</f>
        <v/>
      </c>
      <c r="C6" s="16"/>
      <c r="D6" s="134" t="s">
        <v>47</v>
      </c>
      <c r="E6" s="6"/>
      <c r="F6" s="135" t="str">
        <f t="array" ref="F6">IF($J$2="","",IFERROR(IF(INDEX('2027'!$I:$I,$L$2+7)="","",INDEX('2027'!$I:$I,$L$2+7)),""))</f>
        <v/>
      </c>
      <c r="G6" s="16"/>
      <c r="H6" s="134" t="s">
        <v>50</v>
      </c>
      <c r="I6" s="6"/>
      <c r="J6" s="137" t="str">
        <f t="array" ref="J6">IF($J$2="","",IFERROR(IF(INDEX('2027'!$J:$J,$L$2+7)="","",INDEX('2027'!$J:$J,$L$2+7)),""))</f>
        <v/>
      </c>
      <c r="K6" s="16"/>
      <c r="L6" s="5"/>
    </row>
    <row r="7" ht="24.0" customHeight="1">
      <c r="A7" s="140" t="s">
        <v>46</v>
      </c>
      <c r="B7" s="139" t="str">
        <f t="array" ref="B7">IF($J$2="","",IFERROR(IF(INDEX('2027'!$H:$H,$L$2+7)="","",INDEX('2027'!$H:$H,$L$2+7)),""))</f>
        <v/>
      </c>
      <c r="C7" s="15"/>
      <c r="D7" s="15"/>
      <c r="E7" s="15"/>
      <c r="F7" s="15"/>
      <c r="G7" s="15"/>
      <c r="H7" s="15"/>
      <c r="I7" s="15"/>
      <c r="J7" s="15"/>
      <c r="K7" s="16"/>
      <c r="L7" s="5"/>
    </row>
    <row r="8" ht="15.0" customHeight="1">
      <c r="A8" s="132" t="s">
        <v>52</v>
      </c>
      <c r="B8" s="141" t="str">
        <f t="array" ref="B8">IF($J$2="","",IFERROR(IF(INDEX('2027'!$K:$K,$L$2+7)="","",INDEX('2027'!$K:$K,$L$2+7)),""))</f>
        <v/>
      </c>
      <c r="C8" s="16"/>
      <c r="D8" s="134" t="s">
        <v>53</v>
      </c>
      <c r="E8" s="6"/>
      <c r="F8" s="142" t="str">
        <f t="array" ref="F8">IF($J$2="","",IFERROR(IF(INDEX('2027'!$L:$L,$L$2+7)="","",INDEX('2027'!$L:$L,$L$2+7)),""))</f>
        <v/>
      </c>
      <c r="G8" s="16"/>
      <c r="H8" s="134" t="s">
        <v>376</v>
      </c>
      <c r="I8" s="6"/>
      <c r="J8" s="133" t="str">
        <f t="array" ref="J8">IF($J$2="","",IFERROR(IF(INDEX('2027'!$N:$N,$L$2+7)="","",INDEX('2027'!$N:$N,$L$2+7)),""))</f>
        <v/>
      </c>
      <c r="K8" s="16"/>
      <c r="L8" s="5"/>
    </row>
    <row r="9" ht="15.0" customHeight="1">
      <c r="A9" s="132" t="s">
        <v>377</v>
      </c>
      <c r="B9" s="143" t="str">
        <f t="array" ref="B9">IF($J$2="","",IFERROR(IF(INDEX('2027'!$M:$M,$L$2+7)="","",INDEX('2027'!$M:$M,$L$2+7)),""))</f>
        <v/>
      </c>
      <c r="C9" s="16"/>
      <c r="D9" s="134" t="s">
        <v>73</v>
      </c>
      <c r="E9" s="6"/>
      <c r="F9" s="144" t="str">
        <f t="array" ref="F9">IF($J$2="","",IFERROR(IF(INDEX('2027'!$O:$O,$L$2+7)="","",INDEX('2027'!$O:$O,$L$2+7)),""))</f>
        <v/>
      </c>
      <c r="G9" s="16"/>
      <c r="H9" s="134" t="s">
        <v>378</v>
      </c>
      <c r="I9" s="6"/>
      <c r="J9" s="143" t="str">
        <f t="array" ref="J9">IF($J$2="","",IFERROR(IF(INDEX('2027'!$Q:$Q,$L$2+7)="","",INDEX('2027'!$Q:$Q,$L$2+7)),""))</f>
        <v/>
      </c>
      <c r="K9" s="16"/>
      <c r="L9" s="5"/>
    </row>
    <row r="10" ht="15.0" customHeight="1">
      <c r="A10" s="132" t="s">
        <v>48</v>
      </c>
      <c r="B10" s="145"/>
      <c r="C10" s="16"/>
      <c r="D10" s="134" t="s">
        <v>60</v>
      </c>
      <c r="E10" s="6"/>
      <c r="F10" s="146"/>
      <c r="G10" s="16"/>
      <c r="H10" s="134" t="s">
        <v>59</v>
      </c>
      <c r="I10" s="6"/>
      <c r="J10" s="137" t="str">
        <f t="array" ref="J10">IF(SUM($B$24:$B$28)=0,"",INDEX($A$24:$A$28,MATCH(MAX($B$24:$B$28),$B$24:$B$28,0)))</f>
        <v/>
      </c>
      <c r="K10" s="16"/>
      <c r="L10" s="5"/>
    </row>
    <row r="11" ht="15.0" customHeight="1">
      <c r="A11" s="132" t="s">
        <v>55</v>
      </c>
      <c r="B11" s="145"/>
      <c r="C11" s="16"/>
      <c r="D11" s="134" t="s">
        <v>57</v>
      </c>
      <c r="E11" s="6"/>
      <c r="F11" s="147"/>
      <c r="G11" s="16"/>
      <c r="H11" s="134" t="s">
        <v>58</v>
      </c>
      <c r="I11" s="6"/>
      <c r="J11" s="145"/>
      <c r="K11" s="16"/>
      <c r="L11" s="5"/>
    </row>
    <row r="12" ht="15.0" customHeight="1">
      <c r="A12" s="132" t="s">
        <v>63</v>
      </c>
      <c r="B12" s="145"/>
      <c r="C12" s="16"/>
      <c r="D12" s="134" t="s">
        <v>62</v>
      </c>
      <c r="E12" s="6"/>
      <c r="F12" s="147"/>
      <c r="G12" s="16"/>
      <c r="H12" s="134" t="s">
        <v>379</v>
      </c>
      <c r="I12" s="6"/>
      <c r="J12" s="145"/>
      <c r="K12" s="16"/>
      <c r="L12" s="5"/>
    </row>
    <row r="13" ht="15.0" customHeight="1">
      <c r="A13" s="132" t="s">
        <v>380</v>
      </c>
      <c r="B13" s="145"/>
      <c r="C13" s="16"/>
      <c r="D13" s="134" t="s">
        <v>381</v>
      </c>
      <c r="E13" s="6"/>
      <c r="F13" s="147"/>
      <c r="G13" s="16"/>
      <c r="H13" s="134" t="s">
        <v>382</v>
      </c>
      <c r="I13" s="6"/>
      <c r="J13" s="148"/>
      <c r="K13" s="16"/>
      <c r="L13" s="5"/>
    </row>
    <row r="14" ht="15.0" customHeight="1">
      <c r="A14" s="132" t="s">
        <v>97</v>
      </c>
      <c r="B14" s="149"/>
      <c r="C14" s="16"/>
      <c r="D14" s="134" t="s">
        <v>99</v>
      </c>
      <c r="E14" s="6"/>
      <c r="F14" s="150"/>
      <c r="G14" s="16"/>
      <c r="H14" s="134" t="s">
        <v>383</v>
      </c>
      <c r="I14" s="6"/>
      <c r="J14" s="151"/>
      <c r="K14" s="16"/>
      <c r="L14" s="5"/>
    </row>
    <row r="15" ht="15.0" customHeight="1">
      <c r="A15" s="132" t="s">
        <v>96</v>
      </c>
      <c r="B15" s="143">
        <f>SUMPRODUCT((TEXT(H71:H100,"MM/YYYY")=TEXT(TODAY(),"MM/YYYY"))*IFERROR(I71:I100,0))</f>
        <v>0</v>
      </c>
      <c r="C15" s="16"/>
      <c r="D15" s="152" t="s">
        <v>111</v>
      </c>
      <c r="E15" s="6"/>
      <c r="F15" s="138" t="str">
        <f>IFERROR(LOOKUP(2,1/(J38:J66&lt;&gt;""),J38:J66),"")</f>
        <v/>
      </c>
      <c r="G15" s="15"/>
      <c r="H15" s="15"/>
      <c r="I15" s="15"/>
      <c r="J15" s="15"/>
      <c r="K15" s="16"/>
      <c r="L15" s="5"/>
    </row>
    <row r="16" ht="6.0" customHeight="1">
      <c r="A16" s="153"/>
      <c r="B16" s="71"/>
      <c r="C16" s="154"/>
      <c r="D16" s="71"/>
      <c r="E16" s="71"/>
      <c r="F16" s="153"/>
      <c r="G16" s="71"/>
      <c r="H16" s="154"/>
      <c r="I16" s="71"/>
      <c r="J16" s="71"/>
      <c r="K16" s="71"/>
      <c r="L16" s="5"/>
    </row>
    <row r="17" ht="6.0" customHeight="1">
      <c r="A17" s="153"/>
      <c r="B17" s="71"/>
      <c r="C17" s="154"/>
      <c r="D17" s="71"/>
      <c r="E17" s="71"/>
      <c r="F17" s="153"/>
      <c r="G17" s="71"/>
      <c r="H17" s="154"/>
      <c r="I17" s="71"/>
      <c r="J17" s="71"/>
      <c r="K17" s="71"/>
      <c r="L17" s="5"/>
    </row>
    <row r="18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15.0" customHeight="1">
      <c r="A19" s="24" t="s">
        <v>384</v>
      </c>
      <c r="B19" s="4"/>
      <c r="C19" s="4"/>
      <c r="D19" s="4"/>
      <c r="E19" s="4"/>
      <c r="F19" s="4"/>
      <c r="G19" s="4"/>
      <c r="H19" s="4"/>
      <c r="I19" s="4"/>
      <c r="J19" s="4"/>
      <c r="K19" s="6"/>
      <c r="L19" s="5"/>
    </row>
    <row r="20" ht="27.75" customHeight="1">
      <c r="A20" s="155" t="s">
        <v>73</v>
      </c>
      <c r="B20" s="155" t="s">
        <v>385</v>
      </c>
      <c r="C20" s="155" t="s">
        <v>386</v>
      </c>
      <c r="D20" s="155" t="s">
        <v>387</v>
      </c>
      <c r="E20" s="155" t="s">
        <v>388</v>
      </c>
      <c r="F20" s="155" t="s">
        <v>86</v>
      </c>
      <c r="G20" s="155" t="s">
        <v>87</v>
      </c>
      <c r="H20" s="155" t="s">
        <v>89</v>
      </c>
      <c r="I20" s="155" t="s">
        <v>102</v>
      </c>
      <c r="J20" s="155" t="s">
        <v>389</v>
      </c>
      <c r="K20" s="155" t="s">
        <v>91</v>
      </c>
      <c r="L20" s="5"/>
    </row>
    <row r="21" ht="15.0" customHeight="1">
      <c r="A21" s="156" t="str">
        <f t="array" ref="A21">IF($J$2="","",IFERROR(IF(INDEX('2027'!$O:$O,$L$2+7)="","",INDEX('2027'!$O:$O,$L$2+7)),""))</f>
        <v/>
      </c>
      <c r="B21" s="156">
        <f>SUM(F38:F67)</f>
        <v>0</v>
      </c>
      <c r="C21" s="156">
        <f>SUM(G38:G66)</f>
        <v>0</v>
      </c>
      <c r="D21" s="156">
        <f>SUM(G71:G100)</f>
        <v>0</v>
      </c>
      <c r="E21" s="156">
        <f>SUM(I71:I100)</f>
        <v>0</v>
      </c>
      <c r="F21" s="156">
        <f>B21-C21-D21</f>
        <v>0</v>
      </c>
      <c r="G21" s="156">
        <f>D21-E21</f>
        <v>0</v>
      </c>
      <c r="H21" s="157" t="str">
        <f>IF(OR(A21="",A21=0),"",IFERROR(E21/A21,0))</f>
        <v/>
      </c>
      <c r="I21" s="158">
        <f>SUMPRODUCT(--(A39:A66&lt;&gt;""))</f>
        <v>0</v>
      </c>
      <c r="J21" s="159" t="str">
        <f>IF(COUNT(I38:I66)=0,"",MAX(I38:I66))</f>
        <v/>
      </c>
      <c r="K21" s="156">
        <f>B21-C21-E21</f>
        <v>0</v>
      </c>
      <c r="L21" s="5"/>
    </row>
    <row r="22" ht="15.0" customHeight="1">
      <c r="A22" s="160" t="s">
        <v>390</v>
      </c>
      <c r="B22" s="15"/>
      <c r="C22" s="15"/>
      <c r="D22" s="15"/>
      <c r="E22" s="15"/>
      <c r="F22" s="15"/>
      <c r="G22" s="15"/>
      <c r="H22" s="15"/>
      <c r="I22" s="15"/>
      <c r="J22" s="15"/>
      <c r="K22" s="16"/>
      <c r="L22" s="5"/>
    </row>
    <row r="23" ht="24.0" customHeight="1">
      <c r="A23" s="161" t="s">
        <v>59</v>
      </c>
      <c r="B23" s="161" t="s">
        <v>188</v>
      </c>
      <c r="C23" s="161" t="s">
        <v>391</v>
      </c>
      <c r="D23" s="5"/>
      <c r="E23" s="5"/>
      <c r="F23" s="5"/>
      <c r="G23" s="5"/>
      <c r="H23" s="5"/>
      <c r="I23" s="5"/>
      <c r="J23" s="5"/>
      <c r="K23" s="5"/>
      <c r="L23" s="5"/>
    </row>
    <row r="24" ht="15.0" customHeight="1">
      <c r="A24" s="162" t="s">
        <v>197</v>
      </c>
      <c r="B24" s="163">
        <f t="shared" ref="B24:B28" si="1">SUMIF($J$71:$J$100,$A24,$I$71:$I$100)</f>
        <v>0</v>
      </c>
      <c r="C24" s="164" t="str">
        <f t="shared" ref="C24:C29" si="2">IF(OR($E$21="",$E$21=0),"",IFERROR(B24/$E$21,0))</f>
        <v/>
      </c>
      <c r="D24" s="5"/>
      <c r="E24" s="5"/>
      <c r="F24" s="5"/>
      <c r="G24" s="5"/>
      <c r="H24" s="5"/>
      <c r="I24" s="5"/>
      <c r="J24" s="5"/>
      <c r="K24" s="5"/>
      <c r="L24" s="5"/>
    </row>
    <row r="25" ht="15.0" customHeight="1">
      <c r="A25" s="162" t="s">
        <v>329</v>
      </c>
      <c r="B25" s="163">
        <f t="shared" si="1"/>
        <v>0</v>
      </c>
      <c r="C25" s="164" t="str">
        <f t="shared" si="2"/>
        <v/>
      </c>
      <c r="D25" s="5"/>
      <c r="E25" s="5"/>
      <c r="F25" s="5"/>
      <c r="G25" s="5"/>
      <c r="H25" s="5"/>
      <c r="I25" s="5"/>
      <c r="J25" s="5"/>
      <c r="K25" s="5"/>
      <c r="L25" s="5"/>
    </row>
    <row r="26" ht="15.0" customHeight="1">
      <c r="A26" s="162" t="s">
        <v>203</v>
      </c>
      <c r="B26" s="163">
        <f t="shared" si="1"/>
        <v>0</v>
      </c>
      <c r="C26" s="164" t="str">
        <f t="shared" si="2"/>
        <v/>
      </c>
      <c r="D26" s="5"/>
      <c r="E26" s="5"/>
      <c r="F26" s="5"/>
      <c r="G26" s="5"/>
      <c r="H26" s="5"/>
      <c r="I26" s="5"/>
      <c r="J26" s="5"/>
      <c r="K26" s="5"/>
      <c r="L26" s="5"/>
    </row>
    <row r="27" ht="15.0" customHeight="1">
      <c r="A27" s="162" t="s">
        <v>338</v>
      </c>
      <c r="B27" s="163">
        <f t="shared" si="1"/>
        <v>0</v>
      </c>
      <c r="C27" s="164" t="str">
        <f t="shared" si="2"/>
        <v/>
      </c>
      <c r="D27" s="5"/>
      <c r="E27" s="5"/>
      <c r="F27" s="5"/>
      <c r="G27" s="5"/>
      <c r="H27" s="5"/>
      <c r="I27" s="5"/>
      <c r="J27" s="5"/>
      <c r="K27" s="5"/>
      <c r="L27" s="5"/>
    </row>
    <row r="28" ht="15.0" customHeight="1">
      <c r="A28" s="162" t="s">
        <v>341</v>
      </c>
      <c r="B28" s="163">
        <f t="shared" si="1"/>
        <v>0</v>
      </c>
      <c r="C28" s="164" t="str">
        <f t="shared" si="2"/>
        <v/>
      </c>
      <c r="D28" s="5"/>
      <c r="E28" s="5"/>
      <c r="F28" s="5"/>
      <c r="G28" s="5"/>
      <c r="H28" s="5"/>
      <c r="I28" s="5"/>
      <c r="J28" s="5"/>
      <c r="K28" s="5"/>
      <c r="L28" s="5"/>
    </row>
    <row r="29" ht="15.0" customHeight="1">
      <c r="A29" s="165" t="s">
        <v>392</v>
      </c>
      <c r="B29" s="166">
        <f>SUM(B24:B28)</f>
        <v>0</v>
      </c>
      <c r="C29" s="167" t="str">
        <f t="shared" si="2"/>
        <v/>
      </c>
      <c r="D29" s="5"/>
      <c r="E29" s="5"/>
      <c r="F29" s="5"/>
      <c r="G29" s="5"/>
      <c r="H29" s="5"/>
      <c r="I29" s="5"/>
      <c r="J29" s="5"/>
      <c r="K29" s="5"/>
      <c r="L29" s="5"/>
    </row>
    <row r="30" ht="6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6.0" customHeight="1">
      <c r="A32" s="5"/>
      <c r="L32" s="5"/>
    </row>
    <row r="33" ht="12.75" customHeight="1">
      <c r="A33" s="29" t="s">
        <v>393</v>
      </c>
      <c r="B33" s="4"/>
      <c r="C33" s="4"/>
      <c r="D33" s="4"/>
      <c r="E33" s="4"/>
      <c r="F33" s="4"/>
      <c r="G33" s="4"/>
      <c r="H33" s="4"/>
      <c r="I33" s="4"/>
      <c r="J33" s="4"/>
      <c r="K33" s="6"/>
      <c r="L33" s="5"/>
    </row>
    <row r="34" ht="20.25" customHeight="1">
      <c r="A34" s="155" t="s">
        <v>113</v>
      </c>
      <c r="B34" s="155" t="s">
        <v>115</v>
      </c>
      <c r="C34" s="155" t="s">
        <v>114</v>
      </c>
      <c r="D34" s="155" t="s">
        <v>100</v>
      </c>
      <c r="E34" s="155" t="s">
        <v>121</v>
      </c>
      <c r="F34" s="155" t="s">
        <v>394</v>
      </c>
      <c r="G34" s="5"/>
      <c r="H34" s="5"/>
      <c r="I34" s="5"/>
      <c r="J34" s="5"/>
      <c r="K34" s="5"/>
      <c r="L34" s="5"/>
    </row>
    <row r="35" ht="12.75" customHeight="1">
      <c r="A35" s="158" t="str">
        <f>IF(AND($J$21="",$F$8=""),"",IF($J$21&lt;&gt;"",$J$21,$F$8)-TODAY())</f>
        <v/>
      </c>
      <c r="B35" s="168" t="str">
        <f>IF(AND($J$21="",$F$8=""),"",IF(IF($J$21&lt;&gt;"",$J$21,$F$8)&lt;TODAY(),"Sim","Não"))</f>
        <v/>
      </c>
      <c r="C35" s="168" t="str">
        <f>IF(AND($J$21="",$F$8=""),"",IF(AND(IF($J$21&lt;&gt;"",$J$21,$F$8)-TODAY()&gt;=0,IF($J$21&lt;&gt;"",$J$21,$F$8)-TODAY()&lt;=90),"Sim","Não"))</f>
        <v/>
      </c>
      <c r="D35" s="159" t="str">
        <f>IF(COUNT(H71:H100)=0,"",MAX(H71:H100))</f>
        <v/>
      </c>
      <c r="E35" s="168" t="str">
        <f>IF($D$35="","",IF(TODAY()-$D$35&gt;60,"Sim","Não"))</f>
        <v/>
      </c>
      <c r="F35" s="168" t="str">
        <f>IF(OR($A$21="",$A$21=0),"",IF(($A$21-$D$21)/$A$21&lt;0.2,"Sim","Não"))</f>
        <v/>
      </c>
      <c r="G35" s="5"/>
      <c r="H35" s="5"/>
      <c r="I35" s="5"/>
      <c r="J35" s="5"/>
      <c r="K35" s="5"/>
      <c r="L35" s="5"/>
    </row>
    <row r="36" ht="15.0" customHeight="1">
      <c r="A36" s="28" t="s">
        <v>395</v>
      </c>
      <c r="B36" s="4"/>
      <c r="C36" s="4"/>
      <c r="D36" s="4"/>
      <c r="E36" s="4"/>
      <c r="F36" s="4"/>
      <c r="G36" s="4"/>
      <c r="H36" s="4"/>
      <c r="I36" s="4"/>
      <c r="J36" s="4"/>
      <c r="K36" s="6"/>
      <c r="L36" s="5"/>
    </row>
    <row r="37" ht="15.0" customHeight="1">
      <c r="A37" s="155" t="s">
        <v>396</v>
      </c>
      <c r="B37" s="155" t="s">
        <v>397</v>
      </c>
      <c r="C37" s="155" t="s">
        <v>398</v>
      </c>
      <c r="D37" s="155" t="s">
        <v>399</v>
      </c>
      <c r="E37" s="155" t="s">
        <v>400</v>
      </c>
      <c r="F37" s="155" t="s">
        <v>401</v>
      </c>
      <c r="G37" s="155" t="s">
        <v>402</v>
      </c>
      <c r="H37" s="155" t="s">
        <v>403</v>
      </c>
      <c r="I37" s="155" t="s">
        <v>404</v>
      </c>
      <c r="J37" s="169" t="s">
        <v>37</v>
      </c>
      <c r="K37" s="16"/>
      <c r="L37" s="5"/>
    </row>
    <row r="38" ht="15.0" customHeight="1">
      <c r="A38" s="170" t="s">
        <v>405</v>
      </c>
      <c r="B38" s="171" t="str">
        <f t="shared" ref="B38:B66" si="3">IF(OR(H38="",I38=""),"",(YEAR(I38)-YEAR(H38))*12+(MONTH(I38)-MONTH(H38))+1)</f>
        <v/>
      </c>
      <c r="C38" s="172"/>
      <c r="D38" s="172"/>
      <c r="E38" s="173"/>
      <c r="F38" s="172"/>
      <c r="G38" s="172"/>
      <c r="H38" s="174"/>
      <c r="I38" s="174"/>
      <c r="J38" s="175"/>
      <c r="K38" s="16"/>
      <c r="L38" s="5"/>
    </row>
    <row r="39" ht="15.0" customHeight="1">
      <c r="A39" s="173"/>
      <c r="B39" s="171" t="str">
        <f t="shared" si="3"/>
        <v/>
      </c>
      <c r="C39" s="172"/>
      <c r="D39" s="172"/>
      <c r="E39" s="173"/>
      <c r="F39" s="172"/>
      <c r="G39" s="172"/>
      <c r="H39" s="174"/>
      <c r="I39" s="174"/>
      <c r="J39" s="175"/>
      <c r="K39" s="16"/>
      <c r="L39" s="5"/>
    </row>
    <row r="40" ht="15.0" customHeight="1">
      <c r="A40" s="173"/>
      <c r="B40" s="171" t="str">
        <f t="shared" si="3"/>
        <v/>
      </c>
      <c r="C40" s="172"/>
      <c r="D40" s="172"/>
      <c r="E40" s="173"/>
      <c r="F40" s="172"/>
      <c r="G40" s="172"/>
      <c r="H40" s="174"/>
      <c r="I40" s="174"/>
      <c r="J40" s="175"/>
      <c r="K40" s="16"/>
      <c r="L40" s="5"/>
    </row>
    <row r="41" ht="15.0" customHeight="1">
      <c r="A41" s="173"/>
      <c r="B41" s="176" t="str">
        <f t="shared" si="3"/>
        <v/>
      </c>
      <c r="C41" s="177"/>
      <c r="D41" s="172"/>
      <c r="E41" s="173"/>
      <c r="F41" s="177"/>
      <c r="G41" s="172"/>
      <c r="H41" s="174"/>
      <c r="I41" s="174"/>
      <c r="J41" s="175"/>
      <c r="K41" s="16"/>
      <c r="L41" s="5"/>
    </row>
    <row r="42" ht="15.0" customHeight="1">
      <c r="A42" s="173"/>
      <c r="B42" s="176" t="str">
        <f t="shared" si="3"/>
        <v/>
      </c>
      <c r="C42" s="177"/>
      <c r="D42" s="177"/>
      <c r="E42" s="178"/>
      <c r="F42" s="177"/>
      <c r="G42" s="177"/>
      <c r="H42" s="179"/>
      <c r="I42" s="179"/>
      <c r="J42" s="180"/>
      <c r="K42" s="16"/>
      <c r="L42" s="5"/>
    </row>
    <row r="43" ht="15.0" customHeight="1">
      <c r="A43" s="173"/>
      <c r="B43" s="171" t="str">
        <f t="shared" si="3"/>
        <v/>
      </c>
      <c r="C43" s="172"/>
      <c r="D43" s="172"/>
      <c r="E43" s="173"/>
      <c r="F43" s="172"/>
      <c r="G43" s="172"/>
      <c r="H43" s="174"/>
      <c r="I43" s="174"/>
      <c r="J43" s="175"/>
      <c r="K43" s="16"/>
      <c r="L43" s="5"/>
    </row>
    <row r="44" ht="15.0" customHeight="1">
      <c r="A44" s="173"/>
      <c r="B44" s="171" t="str">
        <f t="shared" si="3"/>
        <v/>
      </c>
      <c r="C44" s="172"/>
      <c r="D44" s="172"/>
      <c r="E44" s="173"/>
      <c r="F44" s="172"/>
      <c r="G44" s="172"/>
      <c r="H44" s="174"/>
      <c r="I44" s="174"/>
      <c r="J44" s="175"/>
      <c r="K44" s="16"/>
      <c r="L44" s="5"/>
    </row>
    <row r="45" ht="15.0" customHeight="1">
      <c r="A45" s="173"/>
      <c r="B45" s="171" t="str">
        <f t="shared" si="3"/>
        <v/>
      </c>
      <c r="C45" s="172"/>
      <c r="D45" s="172"/>
      <c r="E45" s="173"/>
      <c r="F45" s="172"/>
      <c r="G45" s="172"/>
      <c r="H45" s="174"/>
      <c r="I45" s="174"/>
      <c r="J45" s="175"/>
      <c r="K45" s="16"/>
      <c r="L45" s="5"/>
    </row>
    <row r="46" ht="15.0" customHeight="1">
      <c r="A46" s="173"/>
      <c r="B46" s="171" t="str">
        <f t="shared" si="3"/>
        <v/>
      </c>
      <c r="C46" s="172"/>
      <c r="D46" s="172"/>
      <c r="E46" s="173"/>
      <c r="F46" s="172"/>
      <c r="G46" s="172"/>
      <c r="H46" s="174"/>
      <c r="I46" s="174"/>
      <c r="J46" s="175"/>
      <c r="K46" s="16"/>
      <c r="L46" s="5"/>
    </row>
    <row r="47" ht="15.0" customHeight="1">
      <c r="A47" s="173"/>
      <c r="B47" s="171" t="str">
        <f t="shared" si="3"/>
        <v/>
      </c>
      <c r="C47" s="172"/>
      <c r="D47" s="172"/>
      <c r="E47" s="173"/>
      <c r="F47" s="172"/>
      <c r="G47" s="172"/>
      <c r="H47" s="174"/>
      <c r="I47" s="174"/>
      <c r="J47" s="175"/>
      <c r="K47" s="16"/>
      <c r="L47" s="5"/>
    </row>
    <row r="48" ht="15.0" customHeight="1">
      <c r="A48" s="173"/>
      <c r="B48" s="171" t="str">
        <f t="shared" si="3"/>
        <v/>
      </c>
      <c r="C48" s="172"/>
      <c r="D48" s="172"/>
      <c r="E48" s="173"/>
      <c r="F48" s="172"/>
      <c r="G48" s="172"/>
      <c r="H48" s="174"/>
      <c r="I48" s="174"/>
      <c r="J48" s="175"/>
      <c r="K48" s="16"/>
      <c r="L48" s="5"/>
    </row>
    <row r="49" ht="15.0" customHeight="1">
      <c r="A49" s="173"/>
      <c r="B49" s="171" t="str">
        <f t="shared" si="3"/>
        <v/>
      </c>
      <c r="C49" s="172"/>
      <c r="D49" s="172"/>
      <c r="E49" s="173"/>
      <c r="F49" s="172"/>
      <c r="G49" s="172"/>
      <c r="H49" s="174"/>
      <c r="I49" s="174"/>
      <c r="J49" s="175"/>
      <c r="K49" s="16"/>
      <c r="L49" s="5"/>
    </row>
    <row r="50" ht="15.0" customHeight="1">
      <c r="A50" s="173"/>
      <c r="B50" s="176" t="str">
        <f t="shared" si="3"/>
        <v/>
      </c>
      <c r="C50" s="177"/>
      <c r="D50" s="172"/>
      <c r="E50" s="173"/>
      <c r="F50" s="177"/>
      <c r="G50" s="172"/>
      <c r="H50" s="174"/>
      <c r="I50" s="174"/>
      <c r="J50" s="175"/>
      <c r="K50" s="16"/>
      <c r="L50" s="5"/>
    </row>
    <row r="51" ht="15.0" customHeight="1">
      <c r="A51" s="173"/>
      <c r="B51" s="176" t="str">
        <f t="shared" si="3"/>
        <v/>
      </c>
      <c r="C51" s="177"/>
      <c r="D51" s="177"/>
      <c r="E51" s="178"/>
      <c r="F51" s="177"/>
      <c r="G51" s="177"/>
      <c r="H51" s="179"/>
      <c r="I51" s="179"/>
      <c r="J51" s="180"/>
      <c r="K51" s="16"/>
      <c r="L51" s="5"/>
    </row>
    <row r="52" ht="15.0" customHeight="1">
      <c r="A52" s="173"/>
      <c r="B52" s="171" t="str">
        <f t="shared" si="3"/>
        <v/>
      </c>
      <c r="C52" s="172"/>
      <c r="D52" s="172"/>
      <c r="E52" s="173"/>
      <c r="F52" s="172"/>
      <c r="G52" s="172"/>
      <c r="H52" s="174"/>
      <c r="I52" s="174"/>
      <c r="J52" s="175"/>
      <c r="K52" s="16"/>
      <c r="L52" s="5"/>
    </row>
    <row r="53" ht="15.0" customHeight="1">
      <c r="A53" s="173"/>
      <c r="B53" s="171" t="str">
        <f t="shared" si="3"/>
        <v/>
      </c>
      <c r="C53" s="172"/>
      <c r="D53" s="172"/>
      <c r="E53" s="173"/>
      <c r="F53" s="172"/>
      <c r="G53" s="172"/>
      <c r="H53" s="174"/>
      <c r="I53" s="174"/>
      <c r="J53" s="175"/>
      <c r="K53" s="16"/>
      <c r="L53" s="5"/>
    </row>
    <row r="54" ht="15.0" customHeight="1">
      <c r="A54" s="173"/>
      <c r="B54" s="171" t="str">
        <f t="shared" si="3"/>
        <v/>
      </c>
      <c r="C54" s="172"/>
      <c r="D54" s="172"/>
      <c r="E54" s="173"/>
      <c r="F54" s="172"/>
      <c r="G54" s="172"/>
      <c r="H54" s="174"/>
      <c r="I54" s="174"/>
      <c r="J54" s="175"/>
      <c r="K54" s="16"/>
      <c r="L54" s="5"/>
    </row>
    <row r="55" ht="15.0" customHeight="1">
      <c r="A55" s="173"/>
      <c r="B55" s="171" t="str">
        <f t="shared" si="3"/>
        <v/>
      </c>
      <c r="C55" s="172"/>
      <c r="D55" s="172"/>
      <c r="E55" s="173"/>
      <c r="F55" s="172"/>
      <c r="G55" s="172"/>
      <c r="H55" s="174"/>
      <c r="I55" s="174"/>
      <c r="J55" s="175"/>
      <c r="K55" s="16"/>
      <c r="L55" s="5"/>
    </row>
    <row r="56" ht="15.0" customHeight="1">
      <c r="A56" s="173"/>
      <c r="B56" s="171" t="str">
        <f t="shared" si="3"/>
        <v/>
      </c>
      <c r="C56" s="172"/>
      <c r="D56" s="172"/>
      <c r="E56" s="173"/>
      <c r="F56" s="172"/>
      <c r="G56" s="172"/>
      <c r="H56" s="174"/>
      <c r="I56" s="174"/>
      <c r="J56" s="175"/>
      <c r="K56" s="16"/>
      <c r="L56" s="5"/>
    </row>
    <row r="57" ht="15.0" customHeight="1">
      <c r="A57" s="173"/>
      <c r="B57" s="171" t="str">
        <f t="shared" si="3"/>
        <v/>
      </c>
      <c r="C57" s="172"/>
      <c r="D57" s="172"/>
      <c r="E57" s="173"/>
      <c r="F57" s="172"/>
      <c r="G57" s="172"/>
      <c r="H57" s="174"/>
      <c r="I57" s="174"/>
      <c r="J57" s="175"/>
      <c r="K57" s="16"/>
      <c r="L57" s="5"/>
    </row>
    <row r="58" ht="15.0" customHeight="1">
      <c r="A58" s="173"/>
      <c r="B58" s="171" t="str">
        <f t="shared" si="3"/>
        <v/>
      </c>
      <c r="C58" s="172"/>
      <c r="D58" s="172"/>
      <c r="E58" s="173"/>
      <c r="F58" s="172"/>
      <c r="G58" s="172"/>
      <c r="H58" s="174"/>
      <c r="I58" s="174"/>
      <c r="J58" s="175"/>
      <c r="K58" s="16"/>
      <c r="L58" s="5"/>
    </row>
    <row r="59" ht="15.0" customHeight="1">
      <c r="A59" s="173"/>
      <c r="B59" s="171" t="str">
        <f t="shared" si="3"/>
        <v/>
      </c>
      <c r="C59" s="172"/>
      <c r="D59" s="172"/>
      <c r="E59" s="173"/>
      <c r="F59" s="172"/>
      <c r="G59" s="172"/>
      <c r="H59" s="174"/>
      <c r="I59" s="174"/>
      <c r="J59" s="175"/>
      <c r="K59" s="16"/>
      <c r="L59" s="5"/>
    </row>
    <row r="60" ht="15.0" customHeight="1">
      <c r="A60" s="173"/>
      <c r="B60" s="171" t="str">
        <f t="shared" si="3"/>
        <v/>
      </c>
      <c r="C60" s="172"/>
      <c r="D60" s="172"/>
      <c r="E60" s="173"/>
      <c r="F60" s="172"/>
      <c r="G60" s="172"/>
      <c r="H60" s="174"/>
      <c r="I60" s="174"/>
      <c r="J60" s="175"/>
      <c r="K60" s="16"/>
      <c r="L60" s="5"/>
    </row>
    <row r="61" ht="15.0" customHeight="1">
      <c r="A61" s="173"/>
      <c r="B61" s="171" t="str">
        <f t="shared" si="3"/>
        <v/>
      </c>
      <c r="C61" s="172"/>
      <c r="D61" s="172"/>
      <c r="E61" s="173"/>
      <c r="F61" s="172"/>
      <c r="G61" s="172"/>
      <c r="H61" s="174"/>
      <c r="I61" s="174"/>
      <c r="J61" s="175"/>
      <c r="K61" s="16"/>
      <c r="L61" s="5"/>
    </row>
    <row r="62" ht="15.0" customHeight="1">
      <c r="A62" s="173"/>
      <c r="B62" s="171" t="str">
        <f t="shared" si="3"/>
        <v/>
      </c>
      <c r="C62" s="172"/>
      <c r="D62" s="172"/>
      <c r="E62" s="173"/>
      <c r="F62" s="172"/>
      <c r="G62" s="172"/>
      <c r="H62" s="174"/>
      <c r="I62" s="174"/>
      <c r="J62" s="175"/>
      <c r="K62" s="16"/>
      <c r="L62" s="5"/>
    </row>
    <row r="63" ht="15.0" customHeight="1">
      <c r="A63" s="173"/>
      <c r="B63" s="171" t="str">
        <f t="shared" si="3"/>
        <v/>
      </c>
      <c r="C63" s="172"/>
      <c r="D63" s="172"/>
      <c r="E63" s="173"/>
      <c r="F63" s="172"/>
      <c r="G63" s="172"/>
      <c r="H63" s="174"/>
      <c r="I63" s="174"/>
      <c r="J63" s="175"/>
      <c r="K63" s="16"/>
      <c r="L63" s="5"/>
    </row>
    <row r="64" ht="15.0" customHeight="1">
      <c r="A64" s="173"/>
      <c r="B64" s="176" t="str">
        <f t="shared" si="3"/>
        <v/>
      </c>
      <c r="C64" s="177"/>
      <c r="D64" s="172"/>
      <c r="E64" s="173"/>
      <c r="F64" s="177"/>
      <c r="G64" s="172"/>
      <c r="H64" s="174"/>
      <c r="I64" s="174"/>
      <c r="J64" s="175"/>
      <c r="K64" s="16"/>
      <c r="L64" s="5"/>
    </row>
    <row r="65" ht="15.0" customHeight="1">
      <c r="A65" s="173"/>
      <c r="B65" s="176" t="str">
        <f t="shared" si="3"/>
        <v/>
      </c>
      <c r="C65" s="177"/>
      <c r="D65" s="177"/>
      <c r="E65" s="178"/>
      <c r="F65" s="177"/>
      <c r="G65" s="177"/>
      <c r="H65" s="179"/>
      <c r="I65" s="179"/>
      <c r="J65" s="180"/>
      <c r="K65" s="16"/>
      <c r="L65" s="5"/>
    </row>
    <row r="66" ht="27.75" customHeight="1">
      <c r="A66" s="173"/>
      <c r="B66" s="171" t="str">
        <f t="shared" si="3"/>
        <v/>
      </c>
      <c r="C66" s="172"/>
      <c r="D66" s="172"/>
      <c r="E66" s="173"/>
      <c r="F66" s="172"/>
      <c r="G66" s="172"/>
      <c r="H66" s="174"/>
      <c r="I66" s="174"/>
      <c r="J66" s="175"/>
      <c r="K66" s="16"/>
      <c r="L66" s="5"/>
    </row>
    <row r="67" ht="15.0" customHeight="1">
      <c r="A67" s="181" t="s">
        <v>406</v>
      </c>
      <c r="B67" s="16"/>
      <c r="C67" s="182">
        <f>SUM(C39:C66)</f>
        <v>0</v>
      </c>
      <c r="D67" s="183"/>
      <c r="E67" s="173"/>
      <c r="F67" s="172"/>
      <c r="G67" s="172"/>
      <c r="H67" s="174"/>
      <c r="I67" s="174"/>
      <c r="J67" s="173"/>
      <c r="K67" s="173"/>
      <c r="L67" s="5"/>
    </row>
    <row r="68" ht="15.0" customHeight="1">
      <c r="A68" s="181" t="s">
        <v>407</v>
      </c>
      <c r="B68" s="16"/>
      <c r="C68" s="71"/>
      <c r="D68" s="166">
        <f>SUM(D39:D66)</f>
        <v>0</v>
      </c>
      <c r="E68" s="184"/>
      <c r="F68" s="71"/>
      <c r="G68" s="185"/>
      <c r="H68" s="178"/>
      <c r="I68" s="178"/>
      <c r="J68" s="178"/>
      <c r="K68" s="178"/>
      <c r="L68" s="5"/>
    </row>
    <row r="69" ht="15.0" customHeight="1">
      <c r="A69" s="186" t="s">
        <v>408</v>
      </c>
      <c r="B69" s="187"/>
      <c r="C69" s="187"/>
      <c r="D69" s="187"/>
      <c r="E69" s="187"/>
      <c r="F69" s="187"/>
      <c r="G69" s="187"/>
      <c r="H69" s="187"/>
      <c r="I69" s="187"/>
      <c r="J69" s="187"/>
      <c r="K69" s="188"/>
      <c r="L69" s="5"/>
    </row>
    <row r="70" ht="15.0" customHeight="1">
      <c r="A70" s="155" t="s">
        <v>409</v>
      </c>
      <c r="B70" s="155" t="s">
        <v>410</v>
      </c>
      <c r="C70" s="155" t="s">
        <v>411</v>
      </c>
      <c r="D70" s="155" t="s">
        <v>400</v>
      </c>
      <c r="E70" s="155" t="s">
        <v>412</v>
      </c>
      <c r="F70" s="155" t="s">
        <v>413</v>
      </c>
      <c r="G70" s="155" t="s">
        <v>414</v>
      </c>
      <c r="H70" s="155" t="s">
        <v>415</v>
      </c>
      <c r="I70" s="155" t="s">
        <v>188</v>
      </c>
      <c r="J70" s="155" t="s">
        <v>59</v>
      </c>
      <c r="K70" s="155" t="s">
        <v>37</v>
      </c>
      <c r="L70" s="5"/>
    </row>
    <row r="71" ht="15.0" customHeight="1">
      <c r="A71" s="189"/>
      <c r="B71" s="189"/>
      <c r="C71" s="189"/>
      <c r="D71" s="189"/>
      <c r="E71" s="189"/>
      <c r="F71" s="190"/>
      <c r="G71" s="183"/>
      <c r="H71" s="190"/>
      <c r="I71" s="183"/>
      <c r="J71" s="191"/>
      <c r="K71" s="189"/>
      <c r="L71" s="5"/>
    </row>
    <row r="72" ht="15.0" customHeight="1">
      <c r="A72" s="189"/>
      <c r="B72" s="189"/>
      <c r="C72" s="189"/>
      <c r="D72" s="189"/>
      <c r="E72" s="189"/>
      <c r="F72" s="190"/>
      <c r="G72" s="183"/>
      <c r="H72" s="190"/>
      <c r="I72" s="183"/>
      <c r="J72" s="191"/>
      <c r="K72" s="189"/>
      <c r="L72" s="5"/>
    </row>
    <row r="73" ht="15.0" customHeight="1">
      <c r="A73" s="189"/>
      <c r="B73" s="189"/>
      <c r="C73" s="189"/>
      <c r="D73" s="189"/>
      <c r="E73" s="189"/>
      <c r="F73" s="190"/>
      <c r="G73" s="183"/>
      <c r="H73" s="190"/>
      <c r="I73" s="183"/>
      <c r="J73" s="191"/>
      <c r="K73" s="189"/>
      <c r="L73" s="5"/>
    </row>
    <row r="74" ht="15.0" customHeight="1">
      <c r="A74" s="189"/>
      <c r="B74" s="189"/>
      <c r="C74" s="189"/>
      <c r="D74" s="189"/>
      <c r="E74" s="189"/>
      <c r="F74" s="190"/>
      <c r="G74" s="183"/>
      <c r="H74" s="190"/>
      <c r="I74" s="183"/>
      <c r="J74" s="191"/>
      <c r="K74" s="189"/>
      <c r="L74" s="5"/>
    </row>
    <row r="75" ht="15.0" customHeight="1">
      <c r="A75" s="189"/>
      <c r="B75" s="189"/>
      <c r="C75" s="189"/>
      <c r="D75" s="189"/>
      <c r="E75" s="189"/>
      <c r="F75" s="190"/>
      <c r="G75" s="183"/>
      <c r="H75" s="190"/>
      <c r="I75" s="183"/>
      <c r="J75" s="191"/>
      <c r="K75" s="189"/>
      <c r="L75" s="5"/>
    </row>
    <row r="76" ht="15.0" customHeight="1">
      <c r="A76" s="189"/>
      <c r="B76" s="189"/>
      <c r="C76" s="189"/>
      <c r="D76" s="189"/>
      <c r="E76" s="189"/>
      <c r="F76" s="190"/>
      <c r="G76" s="183"/>
      <c r="H76" s="190"/>
      <c r="I76" s="183"/>
      <c r="J76" s="191"/>
      <c r="K76" s="189"/>
      <c r="L76" s="5"/>
    </row>
    <row r="77" ht="15.0" customHeight="1">
      <c r="A77" s="189"/>
      <c r="B77" s="189"/>
      <c r="C77" s="189"/>
      <c r="D77" s="189"/>
      <c r="E77" s="189"/>
      <c r="F77" s="190"/>
      <c r="G77" s="183"/>
      <c r="H77" s="190"/>
      <c r="I77" s="183"/>
      <c r="J77" s="191"/>
      <c r="K77" s="189"/>
      <c r="L77" s="5"/>
    </row>
    <row r="78" ht="15.0" customHeight="1">
      <c r="A78" s="189"/>
      <c r="B78" s="189"/>
      <c r="C78" s="189"/>
      <c r="D78" s="189"/>
      <c r="E78" s="189"/>
      <c r="F78" s="190"/>
      <c r="G78" s="183"/>
      <c r="H78" s="190"/>
      <c r="I78" s="183"/>
      <c r="J78" s="191"/>
      <c r="K78" s="189"/>
      <c r="L78" s="5"/>
    </row>
    <row r="79" ht="15.0" customHeight="1">
      <c r="A79" s="189"/>
      <c r="B79" s="189"/>
      <c r="C79" s="189"/>
      <c r="D79" s="189"/>
      <c r="E79" s="189"/>
      <c r="F79" s="190"/>
      <c r="G79" s="183"/>
      <c r="H79" s="190"/>
      <c r="I79" s="183"/>
      <c r="J79" s="191"/>
      <c r="K79" s="189"/>
      <c r="L79" s="5"/>
    </row>
    <row r="80" ht="15.0" customHeight="1">
      <c r="A80" s="189"/>
      <c r="B80" s="189"/>
      <c r="C80" s="189"/>
      <c r="D80" s="189"/>
      <c r="E80" s="189"/>
      <c r="F80" s="190"/>
      <c r="G80" s="183"/>
      <c r="H80" s="190"/>
      <c r="I80" s="183"/>
      <c r="J80" s="191"/>
      <c r="K80" s="189"/>
      <c r="L80" s="5"/>
    </row>
    <row r="81" ht="15.0" customHeight="1">
      <c r="A81" s="189"/>
      <c r="B81" s="189"/>
      <c r="C81" s="189"/>
      <c r="D81" s="189"/>
      <c r="E81" s="189"/>
      <c r="F81" s="190"/>
      <c r="G81" s="183"/>
      <c r="H81" s="190"/>
      <c r="I81" s="183"/>
      <c r="J81" s="191"/>
      <c r="K81" s="189"/>
      <c r="L81" s="5"/>
    </row>
    <row r="82" ht="15.0" customHeight="1">
      <c r="A82" s="189"/>
      <c r="B82" s="189"/>
      <c r="C82" s="189"/>
      <c r="D82" s="189"/>
      <c r="E82" s="189"/>
      <c r="F82" s="190"/>
      <c r="G82" s="183"/>
      <c r="H82" s="190"/>
      <c r="I82" s="183"/>
      <c r="J82" s="191"/>
      <c r="K82" s="189"/>
      <c r="L82" s="5"/>
    </row>
    <row r="83" ht="15.0" customHeight="1">
      <c r="A83" s="189"/>
      <c r="B83" s="189"/>
      <c r="C83" s="189"/>
      <c r="D83" s="189"/>
      <c r="E83" s="189"/>
      <c r="F83" s="190"/>
      <c r="G83" s="183"/>
      <c r="H83" s="190"/>
      <c r="I83" s="183"/>
      <c r="J83" s="191"/>
      <c r="K83" s="189"/>
      <c r="L83" s="5"/>
    </row>
    <row r="84" ht="15.0" customHeight="1">
      <c r="A84" s="189"/>
      <c r="B84" s="189"/>
      <c r="C84" s="189"/>
      <c r="D84" s="189"/>
      <c r="E84" s="189"/>
      <c r="F84" s="190"/>
      <c r="G84" s="183"/>
      <c r="H84" s="190"/>
      <c r="I84" s="183"/>
      <c r="J84" s="191"/>
      <c r="K84" s="189"/>
      <c r="L84" s="5"/>
    </row>
    <row r="85" ht="15.0" customHeight="1">
      <c r="A85" s="189"/>
      <c r="B85" s="189"/>
      <c r="C85" s="189"/>
      <c r="D85" s="189"/>
      <c r="E85" s="189"/>
      <c r="F85" s="190"/>
      <c r="G85" s="183"/>
      <c r="H85" s="190"/>
      <c r="I85" s="183"/>
      <c r="J85" s="191"/>
      <c r="K85" s="189"/>
      <c r="L85" s="5"/>
    </row>
    <row r="86" ht="15.0" customHeight="1">
      <c r="A86" s="189"/>
      <c r="B86" s="189"/>
      <c r="C86" s="189"/>
      <c r="D86" s="189"/>
      <c r="E86" s="189"/>
      <c r="F86" s="190"/>
      <c r="G86" s="183"/>
      <c r="H86" s="190"/>
      <c r="I86" s="183"/>
      <c r="J86" s="191"/>
      <c r="K86" s="189"/>
      <c r="L86" s="5"/>
    </row>
    <row r="87" ht="15.0" customHeight="1">
      <c r="A87" s="189"/>
      <c r="B87" s="189"/>
      <c r="C87" s="189"/>
      <c r="D87" s="189"/>
      <c r="E87" s="189"/>
      <c r="F87" s="190"/>
      <c r="G87" s="183"/>
      <c r="H87" s="190"/>
      <c r="I87" s="183"/>
      <c r="J87" s="191"/>
      <c r="K87" s="189"/>
      <c r="L87" s="5"/>
    </row>
    <row r="88" ht="15.0" customHeight="1">
      <c r="A88" s="189"/>
      <c r="B88" s="189"/>
      <c r="C88" s="189"/>
      <c r="D88" s="189"/>
      <c r="E88" s="189"/>
      <c r="F88" s="190"/>
      <c r="G88" s="183"/>
      <c r="H88" s="190"/>
      <c r="I88" s="183"/>
      <c r="J88" s="191"/>
      <c r="K88" s="189"/>
      <c r="L88" s="5"/>
    </row>
    <row r="89" ht="15.0" customHeight="1">
      <c r="A89" s="189"/>
      <c r="B89" s="189"/>
      <c r="C89" s="189"/>
      <c r="D89" s="189"/>
      <c r="E89" s="189"/>
      <c r="F89" s="190"/>
      <c r="G89" s="183"/>
      <c r="H89" s="190"/>
      <c r="I89" s="183"/>
      <c r="J89" s="191"/>
      <c r="K89" s="189"/>
      <c r="L89" s="5"/>
    </row>
    <row r="90" ht="15.0" customHeight="1">
      <c r="A90" s="189"/>
      <c r="B90" s="189"/>
      <c r="C90" s="189"/>
      <c r="D90" s="189"/>
      <c r="E90" s="189"/>
      <c r="F90" s="190"/>
      <c r="G90" s="183"/>
      <c r="H90" s="190"/>
      <c r="I90" s="183"/>
      <c r="J90" s="191"/>
      <c r="K90" s="189"/>
      <c r="L90" s="5"/>
    </row>
    <row r="91" ht="15.0" customHeight="1">
      <c r="A91" s="189"/>
      <c r="B91" s="189"/>
      <c r="C91" s="189"/>
      <c r="D91" s="189"/>
      <c r="E91" s="189"/>
      <c r="F91" s="190"/>
      <c r="G91" s="183"/>
      <c r="H91" s="190"/>
      <c r="I91" s="183"/>
      <c r="J91" s="191"/>
      <c r="K91" s="189"/>
      <c r="L91" s="5"/>
    </row>
    <row r="92" ht="15.0" customHeight="1">
      <c r="A92" s="189"/>
      <c r="B92" s="189"/>
      <c r="C92" s="189"/>
      <c r="D92" s="189"/>
      <c r="E92" s="189"/>
      <c r="F92" s="190"/>
      <c r="G92" s="183"/>
      <c r="H92" s="190"/>
      <c r="I92" s="183"/>
      <c r="J92" s="191"/>
      <c r="K92" s="189"/>
      <c r="L92" s="5"/>
    </row>
    <row r="93" ht="15.0" customHeight="1">
      <c r="A93" s="189"/>
      <c r="B93" s="189"/>
      <c r="C93" s="189"/>
      <c r="D93" s="189"/>
      <c r="E93" s="189"/>
      <c r="F93" s="190"/>
      <c r="G93" s="183"/>
      <c r="H93" s="190"/>
      <c r="I93" s="183"/>
      <c r="J93" s="191"/>
      <c r="K93" s="189"/>
      <c r="L93" s="5"/>
    </row>
    <row r="94" ht="15.0" customHeight="1">
      <c r="A94" s="189"/>
      <c r="B94" s="189"/>
      <c r="C94" s="189"/>
      <c r="D94" s="189"/>
      <c r="E94" s="189"/>
      <c r="F94" s="190"/>
      <c r="G94" s="183"/>
      <c r="H94" s="190"/>
      <c r="I94" s="183"/>
      <c r="J94" s="191"/>
      <c r="K94" s="189"/>
      <c r="L94" s="5"/>
    </row>
    <row r="95" ht="15.0" customHeight="1">
      <c r="A95" s="189"/>
      <c r="B95" s="189"/>
      <c r="C95" s="189"/>
      <c r="D95" s="189"/>
      <c r="E95" s="189"/>
      <c r="F95" s="190"/>
      <c r="G95" s="183"/>
      <c r="H95" s="190"/>
      <c r="I95" s="183"/>
      <c r="J95" s="191"/>
      <c r="K95" s="189"/>
      <c r="L95" s="5"/>
    </row>
    <row r="96" ht="15.0" customHeight="1">
      <c r="A96" s="189"/>
      <c r="B96" s="189"/>
      <c r="C96" s="189"/>
      <c r="D96" s="189"/>
      <c r="E96" s="189"/>
      <c r="F96" s="190"/>
      <c r="G96" s="183"/>
      <c r="H96" s="190"/>
      <c r="I96" s="183"/>
      <c r="J96" s="191"/>
      <c r="K96" s="189"/>
      <c r="L96" s="5"/>
    </row>
    <row r="97" ht="12.75" customHeight="1">
      <c r="A97" s="189"/>
      <c r="B97" s="178"/>
      <c r="C97" s="178"/>
      <c r="D97" s="189"/>
      <c r="E97" s="189"/>
      <c r="F97" s="190"/>
      <c r="G97" s="183"/>
      <c r="H97" s="190"/>
      <c r="I97" s="183"/>
      <c r="J97" s="191"/>
      <c r="K97" s="189"/>
      <c r="L97" s="5"/>
    </row>
    <row r="98" ht="12.75" customHeight="1">
      <c r="A98" s="189"/>
      <c r="B98" s="178"/>
      <c r="C98" s="178"/>
      <c r="D98" s="178"/>
      <c r="E98" s="178"/>
      <c r="F98" s="178"/>
      <c r="G98" s="178"/>
      <c r="H98" s="178"/>
      <c r="I98" s="178"/>
      <c r="J98" s="192"/>
      <c r="K98" s="178"/>
      <c r="L98" s="5"/>
    </row>
    <row r="99" ht="20.25" customHeight="1">
      <c r="A99" s="189"/>
      <c r="B99" s="189"/>
      <c r="C99" s="189"/>
      <c r="D99" s="189"/>
      <c r="E99" s="189"/>
      <c r="F99" s="190"/>
      <c r="G99" s="183"/>
      <c r="H99" s="190"/>
      <c r="I99" s="183"/>
      <c r="J99" s="191"/>
      <c r="K99" s="189"/>
      <c r="L99" s="5"/>
    </row>
    <row r="100" ht="12.75" customHeight="1">
      <c r="A100" s="189"/>
      <c r="B100" s="189"/>
      <c r="C100" s="189"/>
      <c r="D100" s="189"/>
      <c r="E100" s="189"/>
      <c r="F100" s="190"/>
      <c r="G100" s="183"/>
      <c r="H100" s="190"/>
      <c r="I100" s="183"/>
      <c r="J100" s="191"/>
      <c r="K100" s="189"/>
      <c r="L100" s="5"/>
    </row>
    <row r="101" ht="12.75" customHeight="1">
      <c r="A101" s="193" t="s">
        <v>416</v>
      </c>
      <c r="B101" s="15"/>
      <c r="C101" s="15"/>
      <c r="D101" s="15"/>
      <c r="E101" s="15"/>
      <c r="F101" s="16"/>
      <c r="G101" s="166">
        <f>SUM(G71:G100)</f>
        <v>0</v>
      </c>
      <c r="H101" s="194"/>
      <c r="I101" s="166">
        <f>SUM(I71:I100)</f>
        <v>0</v>
      </c>
      <c r="J101" s="194"/>
      <c r="K101" s="194"/>
      <c r="L101" s="5"/>
    </row>
    <row r="102" ht="12.75" customHeight="1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5"/>
    </row>
    <row r="103" ht="12.75" customHeight="1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5"/>
    </row>
    <row r="104" ht="12.75" customHeight="1">
      <c r="A104" s="196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5"/>
    </row>
    <row r="105" ht="12.75" customHeight="1">
      <c r="A105" s="197"/>
      <c r="B105" s="15"/>
      <c r="C105" s="15"/>
      <c r="D105" s="15"/>
      <c r="E105" s="15"/>
      <c r="F105" s="15"/>
      <c r="G105" s="15"/>
      <c r="H105" s="15"/>
      <c r="I105" s="15"/>
      <c r="J105" s="15"/>
      <c r="K105" s="198"/>
      <c r="L105" s="5"/>
    </row>
    <row r="106" ht="15.0" customHeight="1">
      <c r="A106" s="30" t="s">
        <v>417</v>
      </c>
      <c r="B106" s="4"/>
      <c r="C106" s="4"/>
      <c r="D106" s="4"/>
      <c r="E106" s="4"/>
      <c r="F106" s="4"/>
      <c r="G106" s="4"/>
      <c r="H106" s="4"/>
      <c r="I106" s="4"/>
      <c r="J106" s="4"/>
      <c r="K106" s="6"/>
      <c r="L106" s="5"/>
    </row>
    <row r="107" ht="15.0" customHeight="1">
      <c r="A107" s="199"/>
      <c r="B107" s="15"/>
      <c r="C107" s="15"/>
      <c r="D107" s="15"/>
      <c r="E107" s="15"/>
      <c r="F107" s="15"/>
      <c r="G107" s="15"/>
      <c r="H107" s="15"/>
      <c r="I107" s="15"/>
      <c r="J107" s="15"/>
      <c r="K107" s="16"/>
      <c r="L107" s="5"/>
    </row>
    <row r="108" ht="15.0" customHeight="1">
      <c r="A108" s="199"/>
      <c r="B108" s="15"/>
      <c r="C108" s="15"/>
      <c r="D108" s="15"/>
      <c r="E108" s="15"/>
      <c r="F108" s="15"/>
      <c r="G108" s="15"/>
      <c r="H108" s="15"/>
      <c r="I108" s="15"/>
      <c r="J108" s="15"/>
      <c r="K108" s="16"/>
      <c r="L108" s="5"/>
    </row>
    <row r="109" ht="15.0" customHeight="1">
      <c r="A109" s="199"/>
      <c r="B109" s="15"/>
      <c r="C109" s="15"/>
      <c r="D109" s="15"/>
      <c r="E109" s="15"/>
      <c r="F109" s="15"/>
      <c r="G109" s="15"/>
      <c r="H109" s="15"/>
      <c r="I109" s="15"/>
      <c r="J109" s="15"/>
      <c r="K109" s="16"/>
      <c r="L109" s="5"/>
    </row>
    <row r="110" ht="15.0" customHeight="1">
      <c r="A110" s="200"/>
      <c r="B110" s="15"/>
      <c r="C110" s="15"/>
      <c r="D110" s="15"/>
      <c r="E110" s="15"/>
      <c r="F110" s="15"/>
      <c r="G110" s="15"/>
      <c r="H110" s="15"/>
      <c r="I110" s="15"/>
      <c r="J110" s="15"/>
      <c r="K110" s="16"/>
      <c r="L110" s="5"/>
    </row>
    <row r="111" ht="15.0" customHeight="1">
      <c r="A111" s="199"/>
      <c r="B111" s="15"/>
      <c r="C111" s="15"/>
      <c r="D111" s="15"/>
      <c r="E111" s="15"/>
      <c r="F111" s="15"/>
      <c r="G111" s="15"/>
      <c r="H111" s="15"/>
      <c r="I111" s="15"/>
      <c r="J111" s="15"/>
      <c r="K111" s="16"/>
      <c r="L111" s="5"/>
    </row>
    <row r="112" ht="15.0" customHeight="1">
      <c r="A112" s="199"/>
      <c r="B112" s="15"/>
      <c r="C112" s="15"/>
      <c r="D112" s="15"/>
      <c r="E112" s="15"/>
      <c r="F112" s="15"/>
      <c r="G112" s="15"/>
      <c r="H112" s="15"/>
      <c r="I112" s="15"/>
      <c r="J112" s="15"/>
      <c r="K112" s="16"/>
      <c r="L112" s="5"/>
    </row>
    <row r="113" ht="15.0" customHeight="1">
      <c r="A113" s="175"/>
      <c r="B113" s="15"/>
      <c r="C113" s="15"/>
      <c r="D113" s="15"/>
      <c r="E113" s="15"/>
      <c r="F113" s="15"/>
      <c r="G113" s="15"/>
      <c r="H113" s="15"/>
      <c r="I113" s="15"/>
      <c r="J113" s="15"/>
      <c r="K113" s="16"/>
      <c r="L113" s="5"/>
    </row>
    <row r="114" ht="15.0" customHeight="1">
      <c r="A114" s="175"/>
      <c r="B114" s="15"/>
      <c r="C114" s="15"/>
      <c r="D114" s="15"/>
      <c r="E114" s="15"/>
      <c r="F114" s="15"/>
      <c r="G114" s="15"/>
      <c r="H114" s="15"/>
      <c r="I114" s="15"/>
      <c r="J114" s="15"/>
      <c r="K114" s="16"/>
      <c r="L114" s="5"/>
    </row>
    <row r="115" ht="15.0" customHeight="1">
      <c r="A115" s="175"/>
      <c r="B115" s="15"/>
      <c r="C115" s="15"/>
      <c r="D115" s="15"/>
      <c r="E115" s="15"/>
      <c r="F115" s="15"/>
      <c r="G115" s="15"/>
      <c r="H115" s="15"/>
      <c r="I115" s="15"/>
      <c r="J115" s="15"/>
      <c r="K115" s="16"/>
      <c r="L115" s="5"/>
    </row>
    <row r="116" ht="15.0" customHeight="1">
      <c r="A116" s="175"/>
      <c r="B116" s="15"/>
      <c r="C116" s="15"/>
      <c r="D116" s="15"/>
      <c r="E116" s="15"/>
      <c r="F116" s="15"/>
      <c r="G116" s="15"/>
      <c r="H116" s="15"/>
      <c r="I116" s="15"/>
      <c r="J116" s="15"/>
      <c r="K116" s="16"/>
      <c r="L116" s="5"/>
    </row>
    <row r="117" ht="15.0" customHeight="1">
      <c r="A117" s="175"/>
      <c r="B117" s="15"/>
      <c r="C117" s="15"/>
      <c r="D117" s="15"/>
      <c r="E117" s="15"/>
      <c r="F117" s="15"/>
      <c r="G117" s="15"/>
      <c r="H117" s="15"/>
      <c r="I117" s="15"/>
      <c r="J117" s="15"/>
      <c r="K117" s="16"/>
      <c r="L117" s="5"/>
    </row>
    <row r="118" ht="15.0" customHeight="1">
      <c r="A118" s="175"/>
      <c r="B118" s="15"/>
      <c r="C118" s="15"/>
      <c r="D118" s="15"/>
      <c r="E118" s="15"/>
      <c r="F118" s="15"/>
      <c r="G118" s="15"/>
      <c r="H118" s="15"/>
      <c r="I118" s="15"/>
      <c r="J118" s="15"/>
      <c r="K118" s="16"/>
      <c r="L118" s="5"/>
    </row>
    <row r="119" ht="15.0" customHeight="1">
      <c r="A119" s="175"/>
      <c r="B119" s="15"/>
      <c r="C119" s="15"/>
      <c r="D119" s="15"/>
      <c r="E119" s="15"/>
      <c r="F119" s="15"/>
      <c r="G119" s="15"/>
      <c r="H119" s="15"/>
      <c r="I119" s="15"/>
      <c r="J119" s="15"/>
      <c r="K119" s="16"/>
      <c r="L119" s="5"/>
    </row>
    <row r="120" ht="15.0" customHeight="1">
      <c r="A120" s="175"/>
      <c r="B120" s="15"/>
      <c r="C120" s="15"/>
      <c r="D120" s="15"/>
      <c r="E120" s="15"/>
      <c r="F120" s="15"/>
      <c r="G120" s="15"/>
      <c r="H120" s="15"/>
      <c r="I120" s="15"/>
      <c r="J120" s="15"/>
      <c r="K120" s="16"/>
      <c r="L120" s="5"/>
    </row>
    <row r="121" ht="15.0" customHeight="1">
      <c r="A121" s="175"/>
      <c r="B121" s="15"/>
      <c r="C121" s="15"/>
      <c r="D121" s="15"/>
      <c r="E121" s="15"/>
      <c r="F121" s="15"/>
      <c r="G121" s="15"/>
      <c r="H121" s="15"/>
      <c r="I121" s="15"/>
      <c r="J121" s="15"/>
      <c r="K121" s="16"/>
      <c r="L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" t="s">
        <v>370</v>
      </c>
      <c r="H1" s="127" t="str">
        <f>TRIM(MID('2027'!$A$1,FIND(":",'2027'!$A$1)+2,200))</f>
        <v>Superintendência Municipal de Distritos - SMD</v>
      </c>
      <c r="K1" s="128"/>
      <c r="L1" s="129"/>
    </row>
    <row r="2" ht="13.5" customHeight="1">
      <c r="A2" s="5"/>
      <c r="B2" s="5"/>
      <c r="C2" s="5"/>
      <c r="D2" s="5"/>
      <c r="E2" s="5"/>
      <c r="F2" s="5"/>
      <c r="G2" s="5"/>
      <c r="H2" s="128" t="s">
        <v>371</v>
      </c>
      <c r="J2" s="130"/>
      <c r="K2" s="5"/>
      <c r="L2" s="131" t="str">
        <f>IFERROR(MATCH($J$2,'2027'!$E$8:$E$107,0),"")</f>
        <v/>
      </c>
    </row>
    <row r="3" ht="12.75" customHeight="1">
      <c r="A3" s="22" t="s">
        <v>372</v>
      </c>
      <c r="B3" s="4"/>
      <c r="C3" s="4"/>
      <c r="D3" s="4"/>
      <c r="E3" s="4"/>
      <c r="F3" s="4"/>
      <c r="G3" s="4"/>
      <c r="H3" s="4"/>
      <c r="I3" s="4"/>
      <c r="J3" s="4"/>
      <c r="K3" s="6"/>
      <c r="L3" s="5"/>
    </row>
    <row r="4" ht="15.0" customHeight="1">
      <c r="A4" s="132" t="s">
        <v>373</v>
      </c>
      <c r="B4" s="133" t="str">
        <f t="array" ref="B4">IF($J$2="","",IFERROR(IF(INDEX('2027'!$A:$A,$L$2+7)="","",INDEX('2027'!$A:$A,$L$2+7)),""))</f>
        <v/>
      </c>
      <c r="C4" s="16"/>
      <c r="D4" s="134" t="s">
        <v>39</v>
      </c>
      <c r="E4" s="6"/>
      <c r="F4" s="135" t="str">
        <f t="array" ref="F4">IF($J$2="","",IFERROR(IF(INDEX('2027'!$E:$E,$L$2+7)="","",INDEX('2027'!$E:$E,$L$2+7)),""))</f>
        <v/>
      </c>
      <c r="G4" s="16"/>
      <c r="H4" s="134" t="s">
        <v>67</v>
      </c>
      <c r="I4" s="6"/>
      <c r="J4" s="136"/>
      <c r="K4" s="16"/>
      <c r="L4" s="5"/>
    </row>
    <row r="5" ht="15.0" customHeight="1">
      <c r="A5" s="132" t="s">
        <v>43</v>
      </c>
      <c r="B5" s="137" t="str">
        <f t="array" ref="B5">IF($J$2="","",IFERROR(IF(INDEX('2027'!$B:$B,$L$2+7)="","",INDEX('2027'!$B:$B,$L$2+7)),""))</f>
        <v/>
      </c>
      <c r="C5" s="16"/>
      <c r="D5" s="134" t="s">
        <v>374</v>
      </c>
      <c r="E5" s="6"/>
      <c r="F5" s="138" t="str">
        <f t="array" ref="F5">IF($J$2="","",IFERROR(IF(INDEX('2027'!$C:$C,$L$2+7)="","",INDEX('2027'!$C:$C,$L$2+7)),""))</f>
        <v/>
      </c>
      <c r="G5" s="16"/>
      <c r="H5" s="134" t="s">
        <v>375</v>
      </c>
      <c r="I5" s="6"/>
      <c r="J5" s="137" t="str">
        <f t="array" ref="J5">IF($J$2="","",IFERROR(IF(INDEX('2027'!$D:$D,$L$2+7)="","",INDEX('2027'!$D:$D,$L$2+7)),""))</f>
        <v/>
      </c>
      <c r="K5" s="16"/>
      <c r="L5" s="5"/>
    </row>
    <row r="6" ht="15.0" customHeight="1">
      <c r="A6" s="132" t="s">
        <v>21</v>
      </c>
      <c r="B6" s="139" t="str">
        <f t="array" ref="B6">IF($J$2="","",IFERROR(IF(INDEX('2027'!$F:$F,$L$2+7)="","",INDEX('2027'!$F:$F,$L$2+7)),""))</f>
        <v/>
      </c>
      <c r="C6" s="16"/>
      <c r="D6" s="134" t="s">
        <v>47</v>
      </c>
      <c r="E6" s="6"/>
      <c r="F6" s="135" t="str">
        <f t="array" ref="F6">IF($J$2="","",IFERROR(IF(INDEX('2027'!$I:$I,$L$2+7)="","",INDEX('2027'!$I:$I,$L$2+7)),""))</f>
        <v/>
      </c>
      <c r="G6" s="16"/>
      <c r="H6" s="134" t="s">
        <v>50</v>
      </c>
      <c r="I6" s="6"/>
      <c r="J6" s="137" t="str">
        <f t="array" ref="J6">IF($J$2="","",IFERROR(IF(INDEX('2027'!$J:$J,$L$2+7)="","",INDEX('2027'!$J:$J,$L$2+7)),""))</f>
        <v/>
      </c>
      <c r="K6" s="16"/>
      <c r="L6" s="5"/>
    </row>
    <row r="7" ht="24.0" customHeight="1">
      <c r="A7" s="140" t="s">
        <v>46</v>
      </c>
      <c r="B7" s="139" t="str">
        <f t="array" ref="B7">IF($J$2="","",IFERROR(IF(INDEX('2027'!$H:$H,$L$2+7)="","",INDEX('2027'!$H:$H,$L$2+7)),""))</f>
        <v/>
      </c>
      <c r="C7" s="15"/>
      <c r="D7" s="15"/>
      <c r="E7" s="15"/>
      <c r="F7" s="15"/>
      <c r="G7" s="15"/>
      <c r="H7" s="15"/>
      <c r="I7" s="15"/>
      <c r="J7" s="15"/>
      <c r="K7" s="16"/>
      <c r="L7" s="5"/>
    </row>
    <row r="8" ht="15.0" customHeight="1">
      <c r="A8" s="132" t="s">
        <v>52</v>
      </c>
      <c r="B8" s="141" t="str">
        <f t="array" ref="B8">IF($J$2="","",IFERROR(IF(INDEX('2027'!$K:$K,$L$2+7)="","",INDEX('2027'!$K:$K,$L$2+7)),""))</f>
        <v/>
      </c>
      <c r="C8" s="16"/>
      <c r="D8" s="134" t="s">
        <v>53</v>
      </c>
      <c r="E8" s="6"/>
      <c r="F8" s="142" t="str">
        <f t="array" ref="F8">IF($J$2="","",IFERROR(IF(INDEX('2027'!$L:$L,$L$2+7)="","",INDEX('2027'!$L:$L,$L$2+7)),""))</f>
        <v/>
      </c>
      <c r="G8" s="16"/>
      <c r="H8" s="134" t="s">
        <v>376</v>
      </c>
      <c r="I8" s="6"/>
      <c r="J8" s="133" t="str">
        <f t="array" ref="J8">IF($J$2="","",IFERROR(IF(INDEX('2027'!$N:$N,$L$2+7)="","",INDEX('2027'!$N:$N,$L$2+7)),""))</f>
        <v/>
      </c>
      <c r="K8" s="16"/>
      <c r="L8" s="5"/>
    </row>
    <row r="9" ht="15.0" customHeight="1">
      <c r="A9" s="132" t="s">
        <v>377</v>
      </c>
      <c r="B9" s="143" t="str">
        <f t="array" ref="B9">IF($J$2="","",IFERROR(IF(INDEX('2027'!$M:$M,$L$2+7)="","",INDEX('2027'!$M:$M,$L$2+7)),""))</f>
        <v/>
      </c>
      <c r="C9" s="16"/>
      <c r="D9" s="134" t="s">
        <v>73</v>
      </c>
      <c r="E9" s="6"/>
      <c r="F9" s="144" t="str">
        <f t="array" ref="F9">IF($J$2="","",IFERROR(IF(INDEX('2027'!$O:$O,$L$2+7)="","",INDEX('2027'!$O:$O,$L$2+7)),""))</f>
        <v/>
      </c>
      <c r="G9" s="16"/>
      <c r="H9" s="134" t="s">
        <v>378</v>
      </c>
      <c r="I9" s="6"/>
      <c r="J9" s="143" t="str">
        <f t="array" ref="J9">IF($J$2="","",IFERROR(IF(INDEX('2027'!$Q:$Q,$L$2+7)="","",INDEX('2027'!$Q:$Q,$L$2+7)),""))</f>
        <v/>
      </c>
      <c r="K9" s="16"/>
      <c r="L9" s="5"/>
    </row>
    <row r="10" ht="15.0" customHeight="1">
      <c r="A10" s="132" t="s">
        <v>48</v>
      </c>
      <c r="B10" s="145"/>
      <c r="C10" s="16"/>
      <c r="D10" s="134" t="s">
        <v>60</v>
      </c>
      <c r="E10" s="6"/>
      <c r="F10" s="146"/>
      <c r="G10" s="16"/>
      <c r="H10" s="134" t="s">
        <v>59</v>
      </c>
      <c r="I10" s="6"/>
      <c r="J10" s="137" t="str">
        <f t="array" ref="J10">IF(SUM($B$24:$B$28)=0,"",INDEX($A$24:$A$28,MATCH(MAX($B$24:$B$28),$B$24:$B$28,0)))</f>
        <v/>
      </c>
      <c r="K10" s="16"/>
      <c r="L10" s="5"/>
    </row>
    <row r="11" ht="15.0" customHeight="1">
      <c r="A11" s="132" t="s">
        <v>55</v>
      </c>
      <c r="B11" s="145"/>
      <c r="C11" s="16"/>
      <c r="D11" s="134" t="s">
        <v>57</v>
      </c>
      <c r="E11" s="6"/>
      <c r="F11" s="147"/>
      <c r="G11" s="16"/>
      <c r="H11" s="134" t="s">
        <v>58</v>
      </c>
      <c r="I11" s="6"/>
      <c r="J11" s="145"/>
      <c r="K11" s="16"/>
      <c r="L11" s="5"/>
    </row>
    <row r="12" ht="15.0" customHeight="1">
      <c r="A12" s="132" t="s">
        <v>63</v>
      </c>
      <c r="B12" s="145"/>
      <c r="C12" s="16"/>
      <c r="D12" s="134" t="s">
        <v>62</v>
      </c>
      <c r="E12" s="6"/>
      <c r="F12" s="147"/>
      <c r="G12" s="16"/>
      <c r="H12" s="134" t="s">
        <v>379</v>
      </c>
      <c r="I12" s="6"/>
      <c r="J12" s="145"/>
      <c r="K12" s="16"/>
      <c r="L12" s="5"/>
    </row>
    <row r="13" ht="15.0" customHeight="1">
      <c r="A13" s="132" t="s">
        <v>380</v>
      </c>
      <c r="B13" s="145"/>
      <c r="C13" s="16"/>
      <c r="D13" s="134" t="s">
        <v>381</v>
      </c>
      <c r="E13" s="6"/>
      <c r="F13" s="147"/>
      <c r="G13" s="16"/>
      <c r="H13" s="134" t="s">
        <v>382</v>
      </c>
      <c r="I13" s="6"/>
      <c r="J13" s="148"/>
      <c r="K13" s="16"/>
      <c r="L13" s="5"/>
    </row>
    <row r="14" ht="15.0" customHeight="1">
      <c r="A14" s="132" t="s">
        <v>97</v>
      </c>
      <c r="B14" s="149"/>
      <c r="C14" s="16"/>
      <c r="D14" s="134" t="s">
        <v>99</v>
      </c>
      <c r="E14" s="6"/>
      <c r="F14" s="150"/>
      <c r="G14" s="16"/>
      <c r="H14" s="134" t="s">
        <v>383</v>
      </c>
      <c r="I14" s="6"/>
      <c r="J14" s="151"/>
      <c r="K14" s="16"/>
      <c r="L14" s="5"/>
    </row>
    <row r="15" ht="15.0" customHeight="1">
      <c r="A15" s="132" t="s">
        <v>96</v>
      </c>
      <c r="B15" s="143">
        <f>SUMPRODUCT((TEXT(H71:H100,"MM/YYYY")=TEXT(TODAY(),"MM/YYYY"))*IFERROR(I71:I100,0))</f>
        <v>0</v>
      </c>
      <c r="C15" s="16"/>
      <c r="D15" s="152" t="s">
        <v>111</v>
      </c>
      <c r="E15" s="6"/>
      <c r="F15" s="138" t="str">
        <f>IFERROR(LOOKUP(2,1/(J38:J66&lt;&gt;""),J38:J66),"")</f>
        <v/>
      </c>
      <c r="G15" s="15"/>
      <c r="H15" s="15"/>
      <c r="I15" s="15"/>
      <c r="J15" s="15"/>
      <c r="K15" s="16"/>
      <c r="L15" s="5"/>
    </row>
    <row r="16" ht="6.0" customHeight="1">
      <c r="A16" s="153"/>
      <c r="B16" s="71"/>
      <c r="C16" s="154"/>
      <c r="D16" s="71"/>
      <c r="E16" s="71"/>
      <c r="F16" s="153"/>
      <c r="G16" s="71"/>
      <c r="H16" s="154"/>
      <c r="I16" s="71"/>
      <c r="J16" s="71"/>
      <c r="K16" s="71"/>
      <c r="L16" s="5"/>
    </row>
    <row r="17" ht="6.0" customHeight="1">
      <c r="A17" s="153"/>
      <c r="B17" s="71"/>
      <c r="C17" s="154"/>
      <c r="D17" s="71"/>
      <c r="E17" s="71"/>
      <c r="F17" s="153"/>
      <c r="G17" s="71"/>
      <c r="H17" s="154"/>
      <c r="I17" s="71"/>
      <c r="J17" s="71"/>
      <c r="K17" s="71"/>
      <c r="L17" s="5"/>
    </row>
    <row r="18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15.0" customHeight="1">
      <c r="A19" s="24" t="s">
        <v>384</v>
      </c>
      <c r="B19" s="4"/>
      <c r="C19" s="4"/>
      <c r="D19" s="4"/>
      <c r="E19" s="4"/>
      <c r="F19" s="4"/>
      <c r="G19" s="4"/>
      <c r="H19" s="4"/>
      <c r="I19" s="4"/>
      <c r="J19" s="4"/>
      <c r="K19" s="6"/>
      <c r="L19" s="5"/>
    </row>
    <row r="20" ht="27.75" customHeight="1">
      <c r="A20" s="155" t="s">
        <v>73</v>
      </c>
      <c r="B20" s="155" t="s">
        <v>385</v>
      </c>
      <c r="C20" s="155" t="s">
        <v>386</v>
      </c>
      <c r="D20" s="155" t="s">
        <v>387</v>
      </c>
      <c r="E20" s="155" t="s">
        <v>388</v>
      </c>
      <c r="F20" s="155" t="s">
        <v>86</v>
      </c>
      <c r="G20" s="155" t="s">
        <v>87</v>
      </c>
      <c r="H20" s="155" t="s">
        <v>89</v>
      </c>
      <c r="I20" s="155" t="s">
        <v>102</v>
      </c>
      <c r="J20" s="155" t="s">
        <v>389</v>
      </c>
      <c r="K20" s="155" t="s">
        <v>91</v>
      </c>
      <c r="L20" s="5"/>
    </row>
    <row r="21" ht="15.0" customHeight="1">
      <c r="A21" s="156" t="str">
        <f t="array" ref="A21">IF($J$2="","",IFERROR(IF(INDEX('2027'!$O:$O,$L$2+7)="","",INDEX('2027'!$O:$O,$L$2+7)),""))</f>
        <v/>
      </c>
      <c r="B21" s="156">
        <f>SUM(F38:F67)</f>
        <v>0</v>
      </c>
      <c r="C21" s="156">
        <f>SUM(G38:G66)</f>
        <v>0</v>
      </c>
      <c r="D21" s="156">
        <f>SUM(G71:G100)</f>
        <v>0</v>
      </c>
      <c r="E21" s="156">
        <f>SUM(I71:I100)</f>
        <v>0</v>
      </c>
      <c r="F21" s="156">
        <f>B21-C21-D21</f>
        <v>0</v>
      </c>
      <c r="G21" s="156">
        <f>D21-E21</f>
        <v>0</v>
      </c>
      <c r="H21" s="157" t="str">
        <f>IF(OR(A21="",A21=0),"",IFERROR(E21/A21,0))</f>
        <v/>
      </c>
      <c r="I21" s="158">
        <f>SUMPRODUCT(--(A39:A66&lt;&gt;""))</f>
        <v>0</v>
      </c>
      <c r="J21" s="159" t="str">
        <f>IF(COUNT(I38:I66)=0,"",MAX(I38:I66))</f>
        <v/>
      </c>
      <c r="K21" s="156">
        <f>B21-C21-E21</f>
        <v>0</v>
      </c>
      <c r="L21" s="5"/>
    </row>
    <row r="22" ht="15.0" customHeight="1">
      <c r="A22" s="160" t="s">
        <v>390</v>
      </c>
      <c r="B22" s="15"/>
      <c r="C22" s="15"/>
      <c r="D22" s="15"/>
      <c r="E22" s="15"/>
      <c r="F22" s="15"/>
      <c r="G22" s="15"/>
      <c r="H22" s="15"/>
      <c r="I22" s="15"/>
      <c r="J22" s="15"/>
      <c r="K22" s="16"/>
      <c r="L22" s="5"/>
    </row>
    <row r="23" ht="24.0" customHeight="1">
      <c r="A23" s="161" t="s">
        <v>59</v>
      </c>
      <c r="B23" s="161" t="s">
        <v>188</v>
      </c>
      <c r="C23" s="161" t="s">
        <v>391</v>
      </c>
      <c r="D23" s="5"/>
      <c r="E23" s="5"/>
      <c r="F23" s="5"/>
      <c r="G23" s="5"/>
      <c r="H23" s="5"/>
      <c r="I23" s="5"/>
      <c r="J23" s="5"/>
      <c r="K23" s="5"/>
      <c r="L23" s="5"/>
    </row>
    <row r="24" ht="15.0" customHeight="1">
      <c r="A24" s="162" t="s">
        <v>197</v>
      </c>
      <c r="B24" s="163">
        <f t="shared" ref="B24:B28" si="1">SUMIF($J$71:$J$100,$A24,$I$71:$I$100)</f>
        <v>0</v>
      </c>
      <c r="C24" s="164" t="str">
        <f t="shared" ref="C24:C29" si="2">IF(OR($E$21="",$E$21=0),"",IFERROR(B24/$E$21,0))</f>
        <v/>
      </c>
      <c r="D24" s="5"/>
      <c r="E24" s="5"/>
      <c r="F24" s="5"/>
      <c r="G24" s="5"/>
      <c r="H24" s="5"/>
      <c r="I24" s="5"/>
      <c r="J24" s="5"/>
      <c r="K24" s="5"/>
      <c r="L24" s="5"/>
    </row>
    <row r="25" ht="15.0" customHeight="1">
      <c r="A25" s="162" t="s">
        <v>329</v>
      </c>
      <c r="B25" s="163">
        <f t="shared" si="1"/>
        <v>0</v>
      </c>
      <c r="C25" s="164" t="str">
        <f t="shared" si="2"/>
        <v/>
      </c>
      <c r="D25" s="5"/>
      <c r="E25" s="5"/>
      <c r="F25" s="5"/>
      <c r="G25" s="5"/>
      <c r="H25" s="5"/>
      <c r="I25" s="5"/>
      <c r="J25" s="5"/>
      <c r="K25" s="5"/>
      <c r="L25" s="5"/>
    </row>
    <row r="26" ht="15.0" customHeight="1">
      <c r="A26" s="162" t="s">
        <v>203</v>
      </c>
      <c r="B26" s="163">
        <f t="shared" si="1"/>
        <v>0</v>
      </c>
      <c r="C26" s="164" t="str">
        <f t="shared" si="2"/>
        <v/>
      </c>
      <c r="D26" s="5"/>
      <c r="E26" s="5"/>
      <c r="F26" s="5"/>
      <c r="G26" s="5"/>
      <c r="H26" s="5"/>
      <c r="I26" s="5"/>
      <c r="J26" s="5"/>
      <c r="K26" s="5"/>
      <c r="L26" s="5"/>
    </row>
    <row r="27" ht="15.0" customHeight="1">
      <c r="A27" s="162" t="s">
        <v>338</v>
      </c>
      <c r="B27" s="163">
        <f t="shared" si="1"/>
        <v>0</v>
      </c>
      <c r="C27" s="164" t="str">
        <f t="shared" si="2"/>
        <v/>
      </c>
      <c r="D27" s="5"/>
      <c r="E27" s="5"/>
      <c r="F27" s="5"/>
      <c r="G27" s="5"/>
      <c r="H27" s="5"/>
      <c r="I27" s="5"/>
      <c r="J27" s="5"/>
      <c r="K27" s="5"/>
      <c r="L27" s="5"/>
    </row>
    <row r="28" ht="15.0" customHeight="1">
      <c r="A28" s="162" t="s">
        <v>341</v>
      </c>
      <c r="B28" s="163">
        <f t="shared" si="1"/>
        <v>0</v>
      </c>
      <c r="C28" s="164" t="str">
        <f t="shared" si="2"/>
        <v/>
      </c>
      <c r="D28" s="5"/>
      <c r="E28" s="5"/>
      <c r="F28" s="5"/>
      <c r="G28" s="5"/>
      <c r="H28" s="5"/>
      <c r="I28" s="5"/>
      <c r="J28" s="5"/>
      <c r="K28" s="5"/>
      <c r="L28" s="5"/>
    </row>
    <row r="29" ht="15.0" customHeight="1">
      <c r="A29" s="165" t="s">
        <v>392</v>
      </c>
      <c r="B29" s="166">
        <f>SUM(B24:B28)</f>
        <v>0</v>
      </c>
      <c r="C29" s="167" t="str">
        <f t="shared" si="2"/>
        <v/>
      </c>
      <c r="D29" s="5"/>
      <c r="E29" s="5"/>
      <c r="F29" s="5"/>
      <c r="G29" s="5"/>
      <c r="H29" s="5"/>
      <c r="I29" s="5"/>
      <c r="J29" s="5"/>
      <c r="K29" s="5"/>
      <c r="L29" s="5"/>
    </row>
    <row r="30" ht="6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6.0" customHeight="1">
      <c r="A32" s="5"/>
      <c r="L32" s="5"/>
    </row>
    <row r="33" ht="12.75" customHeight="1">
      <c r="A33" s="29" t="s">
        <v>393</v>
      </c>
      <c r="B33" s="4"/>
      <c r="C33" s="4"/>
      <c r="D33" s="4"/>
      <c r="E33" s="4"/>
      <c r="F33" s="4"/>
      <c r="G33" s="4"/>
      <c r="H33" s="4"/>
      <c r="I33" s="4"/>
      <c r="J33" s="4"/>
      <c r="K33" s="6"/>
      <c r="L33" s="5"/>
    </row>
    <row r="34" ht="20.25" customHeight="1">
      <c r="A34" s="155" t="s">
        <v>113</v>
      </c>
      <c r="B34" s="155" t="s">
        <v>115</v>
      </c>
      <c r="C34" s="155" t="s">
        <v>114</v>
      </c>
      <c r="D34" s="155" t="s">
        <v>100</v>
      </c>
      <c r="E34" s="155" t="s">
        <v>121</v>
      </c>
      <c r="F34" s="155" t="s">
        <v>394</v>
      </c>
      <c r="G34" s="5"/>
      <c r="H34" s="5"/>
      <c r="I34" s="5"/>
      <c r="J34" s="5"/>
      <c r="K34" s="5"/>
      <c r="L34" s="5"/>
    </row>
    <row r="35" ht="12.75" customHeight="1">
      <c r="A35" s="158" t="str">
        <f>IF(AND($J$21="",$F$8=""),"",IF($J$21&lt;&gt;"",$J$21,$F$8)-TODAY())</f>
        <v/>
      </c>
      <c r="B35" s="168" t="str">
        <f>IF(AND($J$21="",$F$8=""),"",IF(IF($J$21&lt;&gt;"",$J$21,$F$8)&lt;TODAY(),"Sim","Não"))</f>
        <v/>
      </c>
      <c r="C35" s="168" t="str">
        <f>IF(AND($J$21="",$F$8=""),"",IF(AND(IF($J$21&lt;&gt;"",$J$21,$F$8)-TODAY()&gt;=0,IF($J$21&lt;&gt;"",$J$21,$F$8)-TODAY()&lt;=90),"Sim","Não"))</f>
        <v/>
      </c>
      <c r="D35" s="159" t="str">
        <f>IF(COUNT(H71:H100)=0,"",MAX(H71:H100))</f>
        <v/>
      </c>
      <c r="E35" s="168" t="str">
        <f>IF($D$35="","",IF(TODAY()-$D$35&gt;60,"Sim","Não"))</f>
        <v/>
      </c>
      <c r="F35" s="168" t="str">
        <f>IF(OR($A$21="",$A$21=0),"",IF(($A$21-$D$21)/$A$21&lt;0.2,"Sim","Não"))</f>
        <v/>
      </c>
      <c r="G35" s="5"/>
      <c r="H35" s="5"/>
      <c r="I35" s="5"/>
      <c r="J35" s="5"/>
      <c r="K35" s="5"/>
      <c r="L35" s="5"/>
    </row>
    <row r="36" ht="15.0" customHeight="1">
      <c r="A36" s="28" t="s">
        <v>395</v>
      </c>
      <c r="B36" s="4"/>
      <c r="C36" s="4"/>
      <c r="D36" s="4"/>
      <c r="E36" s="4"/>
      <c r="F36" s="4"/>
      <c r="G36" s="4"/>
      <c r="H36" s="4"/>
      <c r="I36" s="4"/>
      <c r="J36" s="4"/>
      <c r="K36" s="6"/>
      <c r="L36" s="5"/>
    </row>
    <row r="37" ht="15.0" customHeight="1">
      <c r="A37" s="155" t="s">
        <v>396</v>
      </c>
      <c r="B37" s="155" t="s">
        <v>397</v>
      </c>
      <c r="C37" s="155" t="s">
        <v>398</v>
      </c>
      <c r="D37" s="155" t="s">
        <v>399</v>
      </c>
      <c r="E37" s="155" t="s">
        <v>400</v>
      </c>
      <c r="F37" s="155" t="s">
        <v>401</v>
      </c>
      <c r="G37" s="155" t="s">
        <v>402</v>
      </c>
      <c r="H37" s="155" t="s">
        <v>403</v>
      </c>
      <c r="I37" s="155" t="s">
        <v>404</v>
      </c>
      <c r="J37" s="169" t="s">
        <v>37</v>
      </c>
      <c r="K37" s="16"/>
      <c r="L37" s="5"/>
    </row>
    <row r="38" ht="15.0" customHeight="1">
      <c r="A38" s="170"/>
      <c r="B38" s="171" t="str">
        <f t="shared" ref="B38:B66" si="3">IF(OR(H38="",I38=""),"",(YEAR(I38)-YEAR(H38))*12+(MONTH(I38)-MONTH(H38))+1)</f>
        <v/>
      </c>
      <c r="C38" s="172"/>
      <c r="D38" s="172"/>
      <c r="E38" s="173"/>
      <c r="F38" s="172"/>
      <c r="G38" s="172"/>
      <c r="H38" s="174"/>
      <c r="I38" s="174"/>
      <c r="J38" s="175"/>
      <c r="K38" s="16"/>
      <c r="L38" s="5"/>
    </row>
    <row r="39" ht="15.0" customHeight="1">
      <c r="A39" s="173"/>
      <c r="B39" s="171" t="str">
        <f t="shared" si="3"/>
        <v/>
      </c>
      <c r="C39" s="172"/>
      <c r="D39" s="172"/>
      <c r="E39" s="173"/>
      <c r="F39" s="172"/>
      <c r="G39" s="172"/>
      <c r="H39" s="174"/>
      <c r="I39" s="174"/>
      <c r="J39" s="175"/>
      <c r="K39" s="16"/>
      <c r="L39" s="5"/>
    </row>
    <row r="40" ht="15.0" customHeight="1">
      <c r="A40" s="173"/>
      <c r="B40" s="171" t="str">
        <f t="shared" si="3"/>
        <v/>
      </c>
      <c r="C40" s="172"/>
      <c r="D40" s="172"/>
      <c r="E40" s="173"/>
      <c r="F40" s="172"/>
      <c r="G40" s="172"/>
      <c r="H40" s="174"/>
      <c r="I40" s="174"/>
      <c r="J40" s="175"/>
      <c r="K40" s="16"/>
      <c r="L40" s="5"/>
    </row>
    <row r="41" ht="15.0" customHeight="1">
      <c r="A41" s="173"/>
      <c r="B41" s="176" t="str">
        <f t="shared" si="3"/>
        <v/>
      </c>
      <c r="C41" s="177"/>
      <c r="D41" s="172"/>
      <c r="E41" s="173"/>
      <c r="F41" s="177"/>
      <c r="G41" s="172"/>
      <c r="H41" s="174"/>
      <c r="I41" s="174"/>
      <c r="J41" s="175"/>
      <c r="K41" s="16"/>
      <c r="L41" s="5"/>
    </row>
    <row r="42" ht="15.0" customHeight="1">
      <c r="A42" s="173"/>
      <c r="B42" s="176" t="str">
        <f t="shared" si="3"/>
        <v/>
      </c>
      <c r="C42" s="177"/>
      <c r="D42" s="177"/>
      <c r="E42" s="178"/>
      <c r="F42" s="177"/>
      <c r="G42" s="177"/>
      <c r="H42" s="179"/>
      <c r="I42" s="179"/>
      <c r="J42" s="180"/>
      <c r="K42" s="16"/>
      <c r="L42" s="5"/>
    </row>
    <row r="43" ht="15.0" customHeight="1">
      <c r="A43" s="173"/>
      <c r="B43" s="171" t="str">
        <f t="shared" si="3"/>
        <v/>
      </c>
      <c r="C43" s="172"/>
      <c r="D43" s="172"/>
      <c r="E43" s="173"/>
      <c r="F43" s="172"/>
      <c r="G43" s="172"/>
      <c r="H43" s="174"/>
      <c r="I43" s="174"/>
      <c r="J43" s="175"/>
      <c r="K43" s="16"/>
      <c r="L43" s="5"/>
    </row>
    <row r="44" ht="15.0" customHeight="1">
      <c r="A44" s="173"/>
      <c r="B44" s="171" t="str">
        <f t="shared" si="3"/>
        <v/>
      </c>
      <c r="C44" s="172"/>
      <c r="D44" s="172"/>
      <c r="E44" s="173"/>
      <c r="F44" s="172"/>
      <c r="G44" s="172"/>
      <c r="H44" s="174"/>
      <c r="I44" s="174"/>
      <c r="J44" s="175"/>
      <c r="K44" s="16"/>
      <c r="L44" s="5"/>
    </row>
    <row r="45" ht="15.0" customHeight="1">
      <c r="A45" s="173"/>
      <c r="B45" s="171" t="str">
        <f t="shared" si="3"/>
        <v/>
      </c>
      <c r="C45" s="172"/>
      <c r="D45" s="172"/>
      <c r="E45" s="173"/>
      <c r="F45" s="172"/>
      <c r="G45" s="172"/>
      <c r="H45" s="174"/>
      <c r="I45" s="174"/>
      <c r="J45" s="175"/>
      <c r="K45" s="16"/>
      <c r="L45" s="5"/>
    </row>
    <row r="46" ht="15.0" customHeight="1">
      <c r="A46" s="173"/>
      <c r="B46" s="171" t="str">
        <f t="shared" si="3"/>
        <v/>
      </c>
      <c r="C46" s="172"/>
      <c r="D46" s="172"/>
      <c r="E46" s="173"/>
      <c r="F46" s="172"/>
      <c r="G46" s="172"/>
      <c r="H46" s="174"/>
      <c r="I46" s="174"/>
      <c r="J46" s="175"/>
      <c r="K46" s="16"/>
      <c r="L46" s="5"/>
    </row>
    <row r="47" ht="15.0" customHeight="1">
      <c r="A47" s="173"/>
      <c r="B47" s="171" t="str">
        <f t="shared" si="3"/>
        <v/>
      </c>
      <c r="C47" s="172"/>
      <c r="D47" s="172"/>
      <c r="E47" s="173"/>
      <c r="F47" s="172"/>
      <c r="G47" s="172"/>
      <c r="H47" s="174"/>
      <c r="I47" s="174"/>
      <c r="J47" s="175"/>
      <c r="K47" s="16"/>
      <c r="L47" s="5"/>
    </row>
    <row r="48" ht="15.0" customHeight="1">
      <c r="A48" s="173"/>
      <c r="B48" s="171" t="str">
        <f t="shared" si="3"/>
        <v/>
      </c>
      <c r="C48" s="172"/>
      <c r="D48" s="172"/>
      <c r="E48" s="173"/>
      <c r="F48" s="172"/>
      <c r="G48" s="172"/>
      <c r="H48" s="174"/>
      <c r="I48" s="174"/>
      <c r="J48" s="175"/>
      <c r="K48" s="16"/>
      <c r="L48" s="5"/>
    </row>
    <row r="49" ht="15.0" customHeight="1">
      <c r="A49" s="173"/>
      <c r="B49" s="171" t="str">
        <f t="shared" si="3"/>
        <v/>
      </c>
      <c r="C49" s="172"/>
      <c r="D49" s="172"/>
      <c r="E49" s="173"/>
      <c r="F49" s="172"/>
      <c r="G49" s="172"/>
      <c r="H49" s="174"/>
      <c r="I49" s="174"/>
      <c r="J49" s="175"/>
      <c r="K49" s="16"/>
      <c r="L49" s="5"/>
    </row>
    <row r="50" ht="15.0" customHeight="1">
      <c r="A50" s="173"/>
      <c r="B50" s="176" t="str">
        <f t="shared" si="3"/>
        <v/>
      </c>
      <c r="C50" s="177"/>
      <c r="D50" s="172"/>
      <c r="E50" s="173"/>
      <c r="F50" s="177"/>
      <c r="G50" s="172"/>
      <c r="H50" s="174"/>
      <c r="I50" s="174"/>
      <c r="J50" s="175"/>
      <c r="K50" s="16"/>
      <c r="L50" s="5"/>
    </row>
    <row r="51" ht="15.0" customHeight="1">
      <c r="A51" s="173"/>
      <c r="B51" s="176" t="str">
        <f t="shared" si="3"/>
        <v/>
      </c>
      <c r="C51" s="177"/>
      <c r="D51" s="177"/>
      <c r="E51" s="178"/>
      <c r="F51" s="177"/>
      <c r="G51" s="177"/>
      <c r="H51" s="179"/>
      <c r="I51" s="179"/>
      <c r="J51" s="180"/>
      <c r="K51" s="16"/>
      <c r="L51" s="5"/>
    </row>
    <row r="52" ht="15.0" customHeight="1">
      <c r="A52" s="173"/>
      <c r="B52" s="171" t="str">
        <f t="shared" si="3"/>
        <v/>
      </c>
      <c r="C52" s="172"/>
      <c r="D52" s="172"/>
      <c r="E52" s="173"/>
      <c r="F52" s="172"/>
      <c r="G52" s="172"/>
      <c r="H52" s="174"/>
      <c r="I52" s="174"/>
      <c r="J52" s="175"/>
      <c r="K52" s="16"/>
      <c r="L52" s="5"/>
    </row>
    <row r="53" ht="15.0" customHeight="1">
      <c r="A53" s="173"/>
      <c r="B53" s="171" t="str">
        <f t="shared" si="3"/>
        <v/>
      </c>
      <c r="C53" s="172"/>
      <c r="D53" s="172"/>
      <c r="E53" s="173"/>
      <c r="F53" s="172"/>
      <c r="G53" s="172"/>
      <c r="H53" s="174"/>
      <c r="I53" s="174"/>
      <c r="J53" s="175"/>
      <c r="K53" s="16"/>
      <c r="L53" s="5"/>
    </row>
    <row r="54" ht="15.0" customHeight="1">
      <c r="A54" s="173"/>
      <c r="B54" s="171" t="str">
        <f t="shared" si="3"/>
        <v/>
      </c>
      <c r="C54" s="172"/>
      <c r="D54" s="172"/>
      <c r="E54" s="173"/>
      <c r="F54" s="172"/>
      <c r="G54" s="172"/>
      <c r="H54" s="174"/>
      <c r="I54" s="174"/>
      <c r="J54" s="175"/>
      <c r="K54" s="16"/>
      <c r="L54" s="5"/>
    </row>
    <row r="55" ht="15.0" customHeight="1">
      <c r="A55" s="173"/>
      <c r="B55" s="171" t="str">
        <f t="shared" si="3"/>
        <v/>
      </c>
      <c r="C55" s="172"/>
      <c r="D55" s="172"/>
      <c r="E55" s="173"/>
      <c r="F55" s="172"/>
      <c r="G55" s="172"/>
      <c r="H55" s="174"/>
      <c r="I55" s="174"/>
      <c r="J55" s="175"/>
      <c r="K55" s="16"/>
      <c r="L55" s="5"/>
    </row>
    <row r="56" ht="15.0" customHeight="1">
      <c r="A56" s="173"/>
      <c r="B56" s="171" t="str">
        <f t="shared" si="3"/>
        <v/>
      </c>
      <c r="C56" s="172"/>
      <c r="D56" s="172"/>
      <c r="E56" s="173"/>
      <c r="F56" s="172"/>
      <c r="G56" s="172"/>
      <c r="H56" s="174"/>
      <c r="I56" s="174"/>
      <c r="J56" s="175"/>
      <c r="K56" s="16"/>
      <c r="L56" s="5"/>
    </row>
    <row r="57" ht="15.0" customHeight="1">
      <c r="A57" s="173"/>
      <c r="B57" s="171" t="str">
        <f t="shared" si="3"/>
        <v/>
      </c>
      <c r="C57" s="172"/>
      <c r="D57" s="172"/>
      <c r="E57" s="173"/>
      <c r="F57" s="172"/>
      <c r="G57" s="172"/>
      <c r="H57" s="174"/>
      <c r="I57" s="174"/>
      <c r="J57" s="175"/>
      <c r="K57" s="16"/>
      <c r="L57" s="5"/>
    </row>
    <row r="58" ht="15.0" customHeight="1">
      <c r="A58" s="173"/>
      <c r="B58" s="171" t="str">
        <f t="shared" si="3"/>
        <v/>
      </c>
      <c r="C58" s="172"/>
      <c r="D58" s="172"/>
      <c r="E58" s="173"/>
      <c r="F58" s="172"/>
      <c r="G58" s="172"/>
      <c r="H58" s="174"/>
      <c r="I58" s="174"/>
      <c r="J58" s="175"/>
      <c r="K58" s="16"/>
      <c r="L58" s="5"/>
    </row>
    <row r="59" ht="15.0" customHeight="1">
      <c r="A59" s="173"/>
      <c r="B59" s="171" t="str">
        <f t="shared" si="3"/>
        <v/>
      </c>
      <c r="C59" s="172"/>
      <c r="D59" s="172"/>
      <c r="E59" s="173"/>
      <c r="F59" s="172"/>
      <c r="G59" s="172"/>
      <c r="H59" s="174"/>
      <c r="I59" s="174"/>
      <c r="J59" s="175"/>
      <c r="K59" s="16"/>
      <c r="L59" s="5"/>
    </row>
    <row r="60" ht="15.0" customHeight="1">
      <c r="A60" s="173"/>
      <c r="B60" s="171" t="str">
        <f t="shared" si="3"/>
        <v/>
      </c>
      <c r="C60" s="172"/>
      <c r="D60" s="172"/>
      <c r="E60" s="173"/>
      <c r="F60" s="172"/>
      <c r="G60" s="172"/>
      <c r="H60" s="174"/>
      <c r="I60" s="174"/>
      <c r="J60" s="175"/>
      <c r="K60" s="16"/>
      <c r="L60" s="5"/>
    </row>
    <row r="61" ht="15.0" customHeight="1">
      <c r="A61" s="173"/>
      <c r="B61" s="171" t="str">
        <f t="shared" si="3"/>
        <v/>
      </c>
      <c r="C61" s="172"/>
      <c r="D61" s="172"/>
      <c r="E61" s="173"/>
      <c r="F61" s="172"/>
      <c r="G61" s="172"/>
      <c r="H61" s="174"/>
      <c r="I61" s="174"/>
      <c r="J61" s="175"/>
      <c r="K61" s="16"/>
      <c r="L61" s="5"/>
    </row>
    <row r="62" ht="15.0" customHeight="1">
      <c r="A62" s="173"/>
      <c r="B62" s="171" t="str">
        <f t="shared" si="3"/>
        <v/>
      </c>
      <c r="C62" s="172"/>
      <c r="D62" s="172"/>
      <c r="E62" s="173"/>
      <c r="F62" s="172"/>
      <c r="G62" s="172"/>
      <c r="H62" s="174"/>
      <c r="I62" s="174"/>
      <c r="J62" s="175"/>
      <c r="K62" s="16"/>
      <c r="L62" s="5"/>
    </row>
    <row r="63" ht="15.0" customHeight="1">
      <c r="A63" s="173"/>
      <c r="B63" s="171" t="str">
        <f t="shared" si="3"/>
        <v/>
      </c>
      <c r="C63" s="172"/>
      <c r="D63" s="172"/>
      <c r="E63" s="173"/>
      <c r="F63" s="172"/>
      <c r="G63" s="172"/>
      <c r="H63" s="174"/>
      <c r="I63" s="174"/>
      <c r="J63" s="175"/>
      <c r="K63" s="16"/>
      <c r="L63" s="5"/>
    </row>
    <row r="64" ht="15.0" customHeight="1">
      <c r="A64" s="173"/>
      <c r="B64" s="176" t="str">
        <f t="shared" si="3"/>
        <v/>
      </c>
      <c r="C64" s="177"/>
      <c r="D64" s="172"/>
      <c r="E64" s="173"/>
      <c r="F64" s="177"/>
      <c r="G64" s="172"/>
      <c r="H64" s="174"/>
      <c r="I64" s="174"/>
      <c r="J64" s="175"/>
      <c r="K64" s="16"/>
      <c r="L64" s="5"/>
    </row>
    <row r="65" ht="15.0" customHeight="1">
      <c r="A65" s="173"/>
      <c r="B65" s="176" t="str">
        <f t="shared" si="3"/>
        <v/>
      </c>
      <c r="C65" s="177"/>
      <c r="D65" s="177"/>
      <c r="E65" s="178"/>
      <c r="F65" s="177"/>
      <c r="G65" s="177"/>
      <c r="H65" s="179"/>
      <c r="I65" s="179"/>
      <c r="J65" s="180"/>
      <c r="K65" s="16"/>
      <c r="L65" s="5"/>
    </row>
    <row r="66" ht="27.75" customHeight="1">
      <c r="A66" s="173"/>
      <c r="B66" s="171" t="str">
        <f t="shared" si="3"/>
        <v/>
      </c>
      <c r="C66" s="172"/>
      <c r="D66" s="172"/>
      <c r="E66" s="173"/>
      <c r="F66" s="172"/>
      <c r="G66" s="172"/>
      <c r="H66" s="174"/>
      <c r="I66" s="174"/>
      <c r="J66" s="175"/>
      <c r="K66" s="16"/>
      <c r="L66" s="5"/>
    </row>
    <row r="67" ht="15.0" customHeight="1">
      <c r="A67" s="181" t="s">
        <v>406</v>
      </c>
      <c r="B67" s="16"/>
      <c r="C67" s="182">
        <f>SUM(C39:C66)</f>
        <v>0</v>
      </c>
      <c r="D67" s="183"/>
      <c r="E67" s="173"/>
      <c r="F67" s="172"/>
      <c r="G67" s="172"/>
      <c r="H67" s="174"/>
      <c r="I67" s="174"/>
      <c r="J67" s="173"/>
      <c r="K67" s="173"/>
      <c r="L67" s="5"/>
    </row>
    <row r="68" ht="15.0" customHeight="1">
      <c r="A68" s="181" t="s">
        <v>407</v>
      </c>
      <c r="B68" s="16"/>
      <c r="C68" s="71"/>
      <c r="D68" s="166">
        <f>SUM(D39:D66)</f>
        <v>0</v>
      </c>
      <c r="E68" s="184"/>
      <c r="F68" s="71"/>
      <c r="G68" s="185"/>
      <c r="H68" s="178"/>
      <c r="I68" s="178"/>
      <c r="J68" s="178"/>
      <c r="K68" s="178"/>
      <c r="L68" s="5"/>
    </row>
    <row r="69" ht="15.0" customHeight="1">
      <c r="A69" s="186" t="s">
        <v>408</v>
      </c>
      <c r="B69" s="187"/>
      <c r="C69" s="187"/>
      <c r="D69" s="187"/>
      <c r="E69" s="187"/>
      <c r="F69" s="187"/>
      <c r="G69" s="187"/>
      <c r="H69" s="187"/>
      <c r="I69" s="187"/>
      <c r="J69" s="187"/>
      <c r="K69" s="188"/>
      <c r="L69" s="5"/>
    </row>
    <row r="70" ht="15.0" customHeight="1">
      <c r="A70" s="155" t="s">
        <v>409</v>
      </c>
      <c r="B70" s="155" t="s">
        <v>410</v>
      </c>
      <c r="C70" s="155" t="s">
        <v>411</v>
      </c>
      <c r="D70" s="155" t="s">
        <v>400</v>
      </c>
      <c r="E70" s="155" t="s">
        <v>412</v>
      </c>
      <c r="F70" s="155" t="s">
        <v>413</v>
      </c>
      <c r="G70" s="155" t="s">
        <v>414</v>
      </c>
      <c r="H70" s="155" t="s">
        <v>415</v>
      </c>
      <c r="I70" s="155" t="s">
        <v>188</v>
      </c>
      <c r="J70" s="155" t="s">
        <v>59</v>
      </c>
      <c r="K70" s="155" t="s">
        <v>37</v>
      </c>
      <c r="L70" s="5"/>
    </row>
    <row r="71" ht="15.0" customHeight="1">
      <c r="A71" s="189"/>
      <c r="B71" s="189"/>
      <c r="C71" s="189"/>
      <c r="D71" s="189"/>
      <c r="E71" s="189"/>
      <c r="F71" s="190"/>
      <c r="G71" s="183"/>
      <c r="H71" s="190"/>
      <c r="I71" s="183"/>
      <c r="J71" s="191"/>
      <c r="K71" s="189"/>
      <c r="L71" s="5"/>
    </row>
    <row r="72" ht="15.0" customHeight="1">
      <c r="A72" s="189"/>
      <c r="B72" s="189"/>
      <c r="C72" s="189"/>
      <c r="D72" s="189"/>
      <c r="E72" s="189"/>
      <c r="F72" s="190"/>
      <c r="G72" s="183"/>
      <c r="H72" s="190"/>
      <c r="I72" s="183"/>
      <c r="J72" s="191"/>
      <c r="K72" s="189"/>
      <c r="L72" s="5"/>
    </row>
    <row r="73" ht="15.0" customHeight="1">
      <c r="A73" s="189"/>
      <c r="B73" s="189"/>
      <c r="C73" s="189"/>
      <c r="D73" s="189"/>
      <c r="E73" s="189"/>
      <c r="F73" s="190"/>
      <c r="G73" s="183"/>
      <c r="H73" s="190"/>
      <c r="I73" s="183"/>
      <c r="J73" s="191"/>
      <c r="K73" s="189"/>
      <c r="L73" s="5"/>
    </row>
    <row r="74" ht="15.0" customHeight="1">
      <c r="A74" s="189"/>
      <c r="B74" s="189"/>
      <c r="C74" s="189"/>
      <c r="D74" s="189"/>
      <c r="E74" s="189"/>
      <c r="F74" s="190"/>
      <c r="G74" s="183"/>
      <c r="H74" s="190"/>
      <c r="I74" s="183"/>
      <c r="J74" s="191"/>
      <c r="K74" s="189"/>
      <c r="L74" s="5"/>
    </row>
    <row r="75" ht="15.0" customHeight="1">
      <c r="A75" s="189"/>
      <c r="B75" s="189"/>
      <c r="C75" s="189"/>
      <c r="D75" s="189"/>
      <c r="E75" s="189"/>
      <c r="F75" s="190"/>
      <c r="G75" s="183"/>
      <c r="H75" s="190"/>
      <c r="I75" s="183"/>
      <c r="J75" s="191"/>
      <c r="K75" s="189"/>
      <c r="L75" s="5"/>
    </row>
    <row r="76" ht="15.0" customHeight="1">
      <c r="A76" s="189"/>
      <c r="B76" s="189"/>
      <c r="C76" s="189"/>
      <c r="D76" s="189"/>
      <c r="E76" s="189"/>
      <c r="F76" s="190"/>
      <c r="G76" s="183"/>
      <c r="H76" s="190"/>
      <c r="I76" s="183"/>
      <c r="J76" s="191"/>
      <c r="K76" s="189"/>
      <c r="L76" s="5"/>
    </row>
    <row r="77" ht="15.0" customHeight="1">
      <c r="A77" s="189"/>
      <c r="B77" s="189"/>
      <c r="C77" s="189"/>
      <c r="D77" s="189"/>
      <c r="E77" s="189"/>
      <c r="F77" s="190"/>
      <c r="G77" s="183"/>
      <c r="H77" s="190"/>
      <c r="I77" s="183"/>
      <c r="J77" s="191"/>
      <c r="K77" s="189"/>
      <c r="L77" s="5"/>
    </row>
    <row r="78" ht="15.0" customHeight="1">
      <c r="A78" s="189"/>
      <c r="B78" s="189"/>
      <c r="C78" s="189"/>
      <c r="D78" s="189"/>
      <c r="E78" s="189"/>
      <c r="F78" s="190"/>
      <c r="G78" s="183"/>
      <c r="H78" s="190"/>
      <c r="I78" s="183"/>
      <c r="J78" s="191"/>
      <c r="K78" s="189"/>
      <c r="L78" s="5"/>
    </row>
    <row r="79" ht="15.0" customHeight="1">
      <c r="A79" s="189"/>
      <c r="B79" s="189"/>
      <c r="C79" s="189"/>
      <c r="D79" s="189"/>
      <c r="E79" s="189"/>
      <c r="F79" s="190"/>
      <c r="G79" s="183"/>
      <c r="H79" s="190"/>
      <c r="I79" s="183"/>
      <c r="J79" s="191"/>
      <c r="K79" s="189"/>
      <c r="L79" s="5"/>
    </row>
    <row r="80" ht="15.0" customHeight="1">
      <c r="A80" s="189"/>
      <c r="B80" s="189"/>
      <c r="C80" s="189"/>
      <c r="D80" s="189"/>
      <c r="E80" s="189"/>
      <c r="F80" s="190"/>
      <c r="G80" s="183"/>
      <c r="H80" s="190"/>
      <c r="I80" s="183"/>
      <c r="J80" s="191"/>
      <c r="K80" s="189"/>
      <c r="L80" s="5"/>
    </row>
    <row r="81" ht="15.0" customHeight="1">
      <c r="A81" s="189"/>
      <c r="B81" s="189"/>
      <c r="C81" s="189"/>
      <c r="D81" s="189"/>
      <c r="E81" s="189"/>
      <c r="F81" s="190"/>
      <c r="G81" s="183"/>
      <c r="H81" s="190"/>
      <c r="I81" s="183"/>
      <c r="J81" s="191"/>
      <c r="K81" s="189"/>
      <c r="L81" s="5"/>
    </row>
    <row r="82" ht="15.0" customHeight="1">
      <c r="A82" s="189"/>
      <c r="B82" s="189"/>
      <c r="C82" s="189"/>
      <c r="D82" s="189"/>
      <c r="E82" s="189"/>
      <c r="F82" s="190"/>
      <c r="G82" s="183"/>
      <c r="H82" s="190"/>
      <c r="I82" s="183"/>
      <c r="J82" s="191"/>
      <c r="K82" s="189"/>
      <c r="L82" s="5"/>
    </row>
    <row r="83" ht="15.0" customHeight="1">
      <c r="A83" s="189"/>
      <c r="B83" s="189"/>
      <c r="C83" s="189"/>
      <c r="D83" s="189"/>
      <c r="E83" s="189"/>
      <c r="F83" s="190"/>
      <c r="G83" s="183"/>
      <c r="H83" s="190"/>
      <c r="I83" s="183"/>
      <c r="J83" s="191"/>
      <c r="K83" s="189"/>
      <c r="L83" s="5"/>
    </row>
    <row r="84" ht="15.0" customHeight="1">
      <c r="A84" s="189"/>
      <c r="B84" s="189"/>
      <c r="C84" s="189"/>
      <c r="D84" s="189"/>
      <c r="E84" s="189"/>
      <c r="F84" s="190"/>
      <c r="G84" s="183"/>
      <c r="H84" s="190"/>
      <c r="I84" s="183"/>
      <c r="J84" s="191"/>
      <c r="K84" s="189"/>
      <c r="L84" s="5"/>
    </row>
    <row r="85" ht="15.0" customHeight="1">
      <c r="A85" s="189"/>
      <c r="B85" s="189"/>
      <c r="C85" s="189"/>
      <c r="D85" s="189"/>
      <c r="E85" s="189"/>
      <c r="F85" s="190"/>
      <c r="G85" s="183"/>
      <c r="H85" s="190"/>
      <c r="I85" s="183"/>
      <c r="J85" s="191"/>
      <c r="K85" s="189"/>
      <c r="L85" s="5"/>
    </row>
    <row r="86" ht="15.0" customHeight="1">
      <c r="A86" s="189"/>
      <c r="B86" s="189"/>
      <c r="C86" s="189"/>
      <c r="D86" s="189"/>
      <c r="E86" s="189"/>
      <c r="F86" s="190"/>
      <c r="G86" s="183"/>
      <c r="H86" s="190"/>
      <c r="I86" s="183"/>
      <c r="J86" s="191"/>
      <c r="K86" s="189"/>
      <c r="L86" s="5"/>
    </row>
    <row r="87" ht="15.0" customHeight="1">
      <c r="A87" s="189"/>
      <c r="B87" s="189"/>
      <c r="C87" s="189"/>
      <c r="D87" s="189"/>
      <c r="E87" s="189"/>
      <c r="F87" s="190"/>
      <c r="G87" s="183"/>
      <c r="H87" s="190"/>
      <c r="I87" s="183"/>
      <c r="J87" s="191"/>
      <c r="K87" s="189"/>
      <c r="L87" s="5"/>
    </row>
    <row r="88" ht="15.0" customHeight="1">
      <c r="A88" s="189"/>
      <c r="B88" s="189"/>
      <c r="C88" s="189"/>
      <c r="D88" s="189"/>
      <c r="E88" s="189"/>
      <c r="F88" s="190"/>
      <c r="G88" s="183"/>
      <c r="H88" s="190"/>
      <c r="I88" s="183"/>
      <c r="J88" s="191"/>
      <c r="K88" s="189"/>
      <c r="L88" s="5"/>
    </row>
    <row r="89" ht="15.0" customHeight="1">
      <c r="A89" s="189"/>
      <c r="B89" s="189"/>
      <c r="C89" s="189"/>
      <c r="D89" s="189"/>
      <c r="E89" s="189"/>
      <c r="F89" s="190"/>
      <c r="G89" s="183"/>
      <c r="H89" s="190"/>
      <c r="I89" s="183"/>
      <c r="J89" s="191"/>
      <c r="K89" s="189"/>
      <c r="L89" s="5"/>
    </row>
    <row r="90" ht="15.0" customHeight="1">
      <c r="A90" s="189"/>
      <c r="B90" s="189"/>
      <c r="C90" s="189"/>
      <c r="D90" s="189"/>
      <c r="E90" s="189"/>
      <c r="F90" s="190"/>
      <c r="G90" s="183"/>
      <c r="H90" s="190"/>
      <c r="I90" s="183"/>
      <c r="J90" s="191"/>
      <c r="K90" s="189"/>
      <c r="L90" s="5"/>
    </row>
    <row r="91" ht="15.0" customHeight="1">
      <c r="A91" s="189"/>
      <c r="B91" s="189"/>
      <c r="C91" s="189"/>
      <c r="D91" s="189"/>
      <c r="E91" s="189"/>
      <c r="F91" s="190"/>
      <c r="G91" s="183"/>
      <c r="H91" s="190"/>
      <c r="I91" s="183"/>
      <c r="J91" s="191"/>
      <c r="K91" s="189"/>
      <c r="L91" s="5"/>
    </row>
    <row r="92" ht="15.0" customHeight="1">
      <c r="A92" s="189"/>
      <c r="B92" s="189"/>
      <c r="C92" s="189"/>
      <c r="D92" s="189"/>
      <c r="E92" s="189"/>
      <c r="F92" s="190"/>
      <c r="G92" s="183"/>
      <c r="H92" s="190"/>
      <c r="I92" s="183"/>
      <c r="J92" s="191"/>
      <c r="K92" s="189"/>
      <c r="L92" s="5"/>
    </row>
    <row r="93" ht="15.0" customHeight="1">
      <c r="A93" s="189"/>
      <c r="B93" s="189"/>
      <c r="C93" s="189"/>
      <c r="D93" s="189"/>
      <c r="E93" s="189"/>
      <c r="F93" s="190"/>
      <c r="G93" s="183"/>
      <c r="H93" s="190"/>
      <c r="I93" s="183"/>
      <c r="J93" s="191"/>
      <c r="K93" s="189"/>
      <c r="L93" s="5"/>
    </row>
    <row r="94" ht="15.0" customHeight="1">
      <c r="A94" s="189"/>
      <c r="B94" s="189"/>
      <c r="C94" s="189"/>
      <c r="D94" s="189"/>
      <c r="E94" s="189"/>
      <c r="F94" s="190"/>
      <c r="G94" s="183"/>
      <c r="H94" s="190"/>
      <c r="I94" s="183"/>
      <c r="J94" s="191"/>
      <c r="K94" s="189"/>
      <c r="L94" s="5"/>
    </row>
    <row r="95" ht="15.0" customHeight="1">
      <c r="A95" s="189"/>
      <c r="B95" s="189"/>
      <c r="C95" s="189"/>
      <c r="D95" s="189"/>
      <c r="E95" s="189"/>
      <c r="F95" s="190"/>
      <c r="G95" s="183"/>
      <c r="H95" s="190"/>
      <c r="I95" s="183"/>
      <c r="J95" s="191"/>
      <c r="K95" s="189"/>
      <c r="L95" s="5"/>
    </row>
    <row r="96" ht="15.0" customHeight="1">
      <c r="A96" s="189"/>
      <c r="B96" s="189"/>
      <c r="C96" s="189"/>
      <c r="D96" s="189"/>
      <c r="E96" s="189"/>
      <c r="F96" s="190"/>
      <c r="G96" s="183"/>
      <c r="H96" s="190"/>
      <c r="I96" s="183"/>
      <c r="J96" s="191"/>
      <c r="K96" s="189"/>
      <c r="L96" s="5"/>
    </row>
    <row r="97" ht="12.75" customHeight="1">
      <c r="A97" s="189"/>
      <c r="B97" s="178"/>
      <c r="C97" s="178"/>
      <c r="D97" s="189"/>
      <c r="E97" s="189"/>
      <c r="F97" s="190"/>
      <c r="G97" s="183"/>
      <c r="H97" s="190"/>
      <c r="I97" s="183"/>
      <c r="J97" s="191"/>
      <c r="K97" s="189"/>
      <c r="L97" s="5"/>
    </row>
    <row r="98" ht="12.75" customHeight="1">
      <c r="A98" s="189"/>
      <c r="B98" s="178"/>
      <c r="C98" s="178"/>
      <c r="D98" s="178"/>
      <c r="E98" s="178"/>
      <c r="F98" s="178"/>
      <c r="G98" s="178"/>
      <c r="H98" s="178"/>
      <c r="I98" s="178"/>
      <c r="J98" s="192"/>
      <c r="K98" s="178"/>
      <c r="L98" s="5"/>
    </row>
    <row r="99" ht="20.25" customHeight="1">
      <c r="A99" s="189"/>
      <c r="B99" s="189"/>
      <c r="C99" s="189"/>
      <c r="D99" s="189"/>
      <c r="E99" s="189"/>
      <c r="F99" s="190"/>
      <c r="G99" s="183"/>
      <c r="H99" s="190"/>
      <c r="I99" s="183"/>
      <c r="J99" s="191"/>
      <c r="K99" s="189"/>
      <c r="L99" s="5"/>
    </row>
    <row r="100" ht="12.75" customHeight="1">
      <c r="A100" s="189"/>
      <c r="B100" s="189"/>
      <c r="C100" s="189"/>
      <c r="D100" s="189"/>
      <c r="E100" s="189"/>
      <c r="F100" s="190"/>
      <c r="G100" s="183"/>
      <c r="H100" s="190"/>
      <c r="I100" s="183"/>
      <c r="J100" s="191"/>
      <c r="K100" s="189"/>
      <c r="L100" s="5"/>
    </row>
    <row r="101" ht="12.75" customHeight="1">
      <c r="A101" s="193" t="s">
        <v>416</v>
      </c>
      <c r="B101" s="15"/>
      <c r="C101" s="15"/>
      <c r="D101" s="15"/>
      <c r="E101" s="15"/>
      <c r="F101" s="16"/>
      <c r="G101" s="166">
        <f>SUM(G71:G100)</f>
        <v>0</v>
      </c>
      <c r="H101" s="194"/>
      <c r="I101" s="166">
        <f>SUM(I71:I100)</f>
        <v>0</v>
      </c>
      <c r="J101" s="194"/>
      <c r="K101" s="194"/>
      <c r="L101" s="5"/>
    </row>
    <row r="102" ht="12.75" customHeight="1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5"/>
    </row>
    <row r="103" ht="12.75" customHeight="1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5"/>
    </row>
    <row r="104" ht="12.75" customHeight="1">
      <c r="A104" s="196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5"/>
    </row>
    <row r="105" ht="12.75" customHeight="1">
      <c r="A105" s="197"/>
      <c r="B105" s="15"/>
      <c r="C105" s="15"/>
      <c r="D105" s="15"/>
      <c r="E105" s="15"/>
      <c r="F105" s="15"/>
      <c r="G105" s="15"/>
      <c r="H105" s="15"/>
      <c r="I105" s="15"/>
      <c r="J105" s="15"/>
      <c r="K105" s="198"/>
      <c r="L105" s="5"/>
    </row>
    <row r="106" ht="15.0" customHeight="1">
      <c r="A106" s="201" t="s">
        <v>417</v>
      </c>
      <c r="B106" s="4"/>
      <c r="C106" s="4"/>
      <c r="D106" s="4"/>
      <c r="E106" s="4"/>
      <c r="F106" s="4"/>
      <c r="G106" s="4"/>
      <c r="H106" s="4"/>
      <c r="I106" s="4"/>
      <c r="J106" s="4"/>
      <c r="K106" s="6"/>
      <c r="L106" s="5"/>
    </row>
    <row r="107" ht="15.0" customHeight="1">
      <c r="A107" s="199"/>
      <c r="B107" s="15"/>
      <c r="C107" s="15"/>
      <c r="D107" s="15"/>
      <c r="E107" s="15"/>
      <c r="F107" s="15"/>
      <c r="G107" s="15"/>
      <c r="H107" s="15"/>
      <c r="I107" s="15"/>
      <c r="J107" s="15"/>
      <c r="K107" s="16"/>
      <c r="L107" s="5"/>
    </row>
    <row r="108" ht="15.0" customHeight="1">
      <c r="A108" s="199"/>
      <c r="B108" s="15"/>
      <c r="C108" s="15"/>
      <c r="D108" s="15"/>
      <c r="E108" s="15"/>
      <c r="F108" s="15"/>
      <c r="G108" s="15"/>
      <c r="H108" s="15"/>
      <c r="I108" s="15"/>
      <c r="J108" s="15"/>
      <c r="K108" s="16"/>
      <c r="L108" s="5"/>
    </row>
    <row r="109" ht="15.0" customHeight="1">
      <c r="A109" s="199"/>
      <c r="B109" s="15"/>
      <c r="C109" s="15"/>
      <c r="D109" s="15"/>
      <c r="E109" s="15"/>
      <c r="F109" s="15"/>
      <c r="G109" s="15"/>
      <c r="H109" s="15"/>
      <c r="I109" s="15"/>
      <c r="J109" s="15"/>
      <c r="K109" s="16"/>
      <c r="L109" s="5"/>
    </row>
    <row r="110" ht="15.0" customHeight="1">
      <c r="A110" s="200"/>
      <c r="B110" s="15"/>
      <c r="C110" s="15"/>
      <c r="D110" s="15"/>
      <c r="E110" s="15"/>
      <c r="F110" s="15"/>
      <c r="G110" s="15"/>
      <c r="H110" s="15"/>
      <c r="I110" s="15"/>
      <c r="J110" s="15"/>
      <c r="K110" s="16"/>
      <c r="L110" s="5"/>
    </row>
    <row r="111" ht="15.0" customHeight="1">
      <c r="A111" s="199"/>
      <c r="B111" s="15"/>
      <c r="C111" s="15"/>
      <c r="D111" s="15"/>
      <c r="E111" s="15"/>
      <c r="F111" s="15"/>
      <c r="G111" s="15"/>
      <c r="H111" s="15"/>
      <c r="I111" s="15"/>
      <c r="J111" s="15"/>
      <c r="K111" s="16"/>
      <c r="L111" s="5"/>
    </row>
    <row r="112" ht="15.0" customHeight="1">
      <c r="A112" s="199"/>
      <c r="B112" s="15"/>
      <c r="C112" s="15"/>
      <c r="D112" s="15"/>
      <c r="E112" s="15"/>
      <c r="F112" s="15"/>
      <c r="G112" s="15"/>
      <c r="H112" s="15"/>
      <c r="I112" s="15"/>
      <c r="J112" s="15"/>
      <c r="K112" s="16"/>
      <c r="L112" s="5"/>
    </row>
    <row r="113" ht="15.0" customHeight="1">
      <c r="A113" s="175"/>
      <c r="B113" s="15"/>
      <c r="C113" s="15"/>
      <c r="D113" s="15"/>
      <c r="E113" s="15"/>
      <c r="F113" s="15"/>
      <c r="G113" s="15"/>
      <c r="H113" s="15"/>
      <c r="I113" s="15"/>
      <c r="J113" s="15"/>
      <c r="K113" s="16"/>
      <c r="L113" s="5"/>
    </row>
    <row r="114" ht="15.0" customHeight="1">
      <c r="A114" s="175"/>
      <c r="B114" s="15"/>
      <c r="C114" s="15"/>
      <c r="D114" s="15"/>
      <c r="E114" s="15"/>
      <c r="F114" s="15"/>
      <c r="G114" s="15"/>
      <c r="H114" s="15"/>
      <c r="I114" s="15"/>
      <c r="J114" s="15"/>
      <c r="K114" s="16"/>
      <c r="L114" s="5"/>
    </row>
    <row r="115" ht="15.0" customHeight="1">
      <c r="A115" s="175"/>
      <c r="B115" s="15"/>
      <c r="C115" s="15"/>
      <c r="D115" s="15"/>
      <c r="E115" s="15"/>
      <c r="F115" s="15"/>
      <c r="G115" s="15"/>
      <c r="H115" s="15"/>
      <c r="I115" s="15"/>
      <c r="J115" s="15"/>
      <c r="K115" s="16"/>
      <c r="L115" s="5"/>
    </row>
    <row r="116" ht="15.0" customHeight="1">
      <c r="A116" s="175"/>
      <c r="B116" s="15"/>
      <c r="C116" s="15"/>
      <c r="D116" s="15"/>
      <c r="E116" s="15"/>
      <c r="F116" s="15"/>
      <c r="G116" s="15"/>
      <c r="H116" s="15"/>
      <c r="I116" s="15"/>
      <c r="J116" s="15"/>
      <c r="K116" s="16"/>
      <c r="L116" s="5"/>
    </row>
    <row r="117" ht="15.0" customHeight="1">
      <c r="A117" s="175"/>
      <c r="B117" s="15"/>
      <c r="C117" s="15"/>
      <c r="D117" s="15"/>
      <c r="E117" s="15"/>
      <c r="F117" s="15"/>
      <c r="G117" s="15"/>
      <c r="H117" s="15"/>
      <c r="I117" s="15"/>
      <c r="J117" s="15"/>
      <c r="K117" s="16"/>
      <c r="L117" s="5"/>
    </row>
    <row r="118" ht="15.0" customHeight="1">
      <c r="A118" s="175"/>
      <c r="B118" s="15"/>
      <c r="C118" s="15"/>
      <c r="D118" s="15"/>
      <c r="E118" s="15"/>
      <c r="F118" s="15"/>
      <c r="G118" s="15"/>
      <c r="H118" s="15"/>
      <c r="I118" s="15"/>
      <c r="J118" s="15"/>
      <c r="K118" s="16"/>
      <c r="L118" s="5"/>
    </row>
    <row r="119" ht="15.0" customHeight="1">
      <c r="A119" s="175"/>
      <c r="B119" s="15"/>
      <c r="C119" s="15"/>
      <c r="D119" s="15"/>
      <c r="E119" s="15"/>
      <c r="F119" s="15"/>
      <c r="G119" s="15"/>
      <c r="H119" s="15"/>
      <c r="I119" s="15"/>
      <c r="J119" s="15"/>
      <c r="K119" s="16"/>
      <c r="L119" s="5"/>
    </row>
    <row r="120" ht="15.0" customHeight="1">
      <c r="A120" s="175"/>
      <c r="B120" s="15"/>
      <c r="C120" s="15"/>
      <c r="D120" s="15"/>
      <c r="E120" s="15"/>
      <c r="F120" s="15"/>
      <c r="G120" s="15"/>
      <c r="H120" s="15"/>
      <c r="I120" s="15"/>
      <c r="J120" s="15"/>
      <c r="K120" s="16"/>
      <c r="L120" s="5"/>
    </row>
    <row r="121" ht="15.0" customHeight="1">
      <c r="A121" s="175"/>
      <c r="B121" s="15"/>
      <c r="C121" s="15"/>
      <c r="D121" s="15"/>
      <c r="E121" s="15"/>
      <c r="F121" s="15"/>
      <c r="G121" s="15"/>
      <c r="H121" s="15"/>
      <c r="I121" s="15"/>
      <c r="J121" s="15"/>
      <c r="K121" s="16"/>
      <c r="L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6.0"/>
    <col customWidth="1" min="3" max="3" width="22.0"/>
    <col customWidth="1" min="4" max="5" width="16.0"/>
    <col customWidth="1" min="6" max="6" width="30.0"/>
    <col customWidth="1" min="7" max="8" width="34.0"/>
    <col customWidth="1" min="9" max="9" width="26.0"/>
    <col customWidth="1" min="10" max="10" width="20.0"/>
    <col customWidth="1" min="11" max="11" width="12.0"/>
    <col customWidth="1" min="12" max="12" width="20.0"/>
    <col customWidth="1" min="13" max="13" width="22.0"/>
    <col customWidth="1" min="14" max="26" width="8.75"/>
  </cols>
  <sheetData>
    <row r="1" ht="15.0" customHeight="1">
      <c r="A1" s="5" t="s">
        <v>418</v>
      </c>
      <c r="B1" s="5" t="s">
        <v>50</v>
      </c>
      <c r="C1" s="5" t="s">
        <v>47</v>
      </c>
      <c r="D1" s="5" t="s">
        <v>419</v>
      </c>
      <c r="E1" s="5" t="s">
        <v>30</v>
      </c>
      <c r="F1" s="5" t="s">
        <v>420</v>
      </c>
      <c r="G1" s="5" t="s">
        <v>421</v>
      </c>
      <c r="H1" s="5" t="s">
        <v>422</v>
      </c>
      <c r="I1" s="5" t="s">
        <v>423</v>
      </c>
      <c r="J1" s="5" t="s">
        <v>424</v>
      </c>
      <c r="K1" s="5" t="s">
        <v>425</v>
      </c>
      <c r="L1" s="5" t="s">
        <v>426</v>
      </c>
      <c r="M1" s="5" t="s">
        <v>427</v>
      </c>
    </row>
    <row r="2" ht="15.0" customHeight="1">
      <c r="A2" s="5" t="s">
        <v>221</v>
      </c>
      <c r="B2" s="5" t="s">
        <v>310</v>
      </c>
      <c r="C2" s="5" t="s">
        <v>296</v>
      </c>
      <c r="D2" s="5" t="s">
        <v>65</v>
      </c>
      <c r="E2" s="5" t="s">
        <v>72</v>
      </c>
      <c r="F2" s="5" t="s">
        <v>428</v>
      </c>
      <c r="G2" s="5" t="s">
        <v>429</v>
      </c>
      <c r="H2" s="5" t="s">
        <v>430</v>
      </c>
      <c r="I2" s="5" t="s">
        <v>431</v>
      </c>
      <c r="J2" s="5" t="s">
        <v>431</v>
      </c>
      <c r="K2" s="5"/>
      <c r="L2" s="5" t="s">
        <v>432</v>
      </c>
      <c r="M2" s="5" t="s">
        <v>76</v>
      </c>
    </row>
    <row r="3" ht="15.0" customHeight="1">
      <c r="A3" s="5" t="s">
        <v>225</v>
      </c>
      <c r="B3" s="5" t="s">
        <v>189</v>
      </c>
      <c r="C3" s="5" t="s">
        <v>300</v>
      </c>
      <c r="D3" s="5" t="s">
        <v>211</v>
      </c>
      <c r="E3" s="5" t="s">
        <v>251</v>
      </c>
      <c r="F3" s="5" t="s">
        <v>433</v>
      </c>
      <c r="G3" s="5" t="s">
        <v>434</v>
      </c>
      <c r="H3" s="5" t="s">
        <v>435</v>
      </c>
      <c r="I3" s="5" t="s">
        <v>436</v>
      </c>
      <c r="J3" s="5" t="s">
        <v>437</v>
      </c>
      <c r="K3" s="5"/>
      <c r="L3" s="5" t="s">
        <v>432</v>
      </c>
      <c r="M3" s="5" t="s">
        <v>438</v>
      </c>
    </row>
    <row r="4" ht="15.0" customHeight="1">
      <c r="A4" s="5" t="s">
        <v>51</v>
      </c>
      <c r="B4" s="5" t="s">
        <v>315</v>
      </c>
      <c r="C4" s="5" t="s">
        <v>306</v>
      </c>
      <c r="D4" s="5" t="s">
        <v>439</v>
      </c>
      <c r="E4" s="5" t="s">
        <v>440</v>
      </c>
      <c r="F4" s="5" t="s">
        <v>441</v>
      </c>
      <c r="G4" s="5" t="s">
        <v>442</v>
      </c>
      <c r="H4" s="5" t="s">
        <v>443</v>
      </c>
      <c r="I4" s="5" t="s">
        <v>444</v>
      </c>
      <c r="J4" s="5" t="s">
        <v>445</v>
      </c>
      <c r="K4" s="5"/>
      <c r="L4" s="5" t="s">
        <v>432</v>
      </c>
      <c r="M4" s="5" t="s">
        <v>338</v>
      </c>
    </row>
    <row r="5" ht="15.0" customHeight="1">
      <c r="A5" s="5" t="s">
        <v>234</v>
      </c>
      <c r="B5" s="5"/>
      <c r="C5" s="5"/>
      <c r="D5" s="5" t="s">
        <v>446</v>
      </c>
      <c r="E5" s="5"/>
      <c r="F5" s="5" t="s">
        <v>447</v>
      </c>
      <c r="G5" s="5" t="s">
        <v>448</v>
      </c>
      <c r="H5" s="5" t="s">
        <v>449</v>
      </c>
      <c r="I5" s="5" t="s">
        <v>450</v>
      </c>
      <c r="J5" s="5" t="s">
        <v>450</v>
      </c>
      <c r="K5" s="5"/>
      <c r="L5" s="5" t="s">
        <v>432</v>
      </c>
      <c r="M5" s="5" t="s">
        <v>451</v>
      </c>
    </row>
    <row r="6" ht="15.0" customHeight="1">
      <c r="A6" s="5" t="s">
        <v>93</v>
      </c>
      <c r="B6" s="5"/>
      <c r="C6" s="5"/>
      <c r="D6" s="5"/>
      <c r="E6" s="5"/>
      <c r="F6" s="5" t="s">
        <v>452</v>
      </c>
      <c r="G6" s="5" t="s">
        <v>453</v>
      </c>
      <c r="H6" s="5" t="s">
        <v>454</v>
      </c>
      <c r="I6" s="5"/>
      <c r="J6" s="5"/>
      <c r="K6" s="5"/>
      <c r="L6" s="5" t="s">
        <v>432</v>
      </c>
      <c r="M6" s="5" t="s">
        <v>455</v>
      </c>
    </row>
    <row r="7" ht="15.0" customHeight="1">
      <c r="A7" s="5" t="s">
        <v>237</v>
      </c>
      <c r="B7" s="5"/>
      <c r="C7" s="5"/>
      <c r="D7" s="5"/>
      <c r="E7" s="5"/>
      <c r="F7" s="5" t="s">
        <v>456</v>
      </c>
      <c r="G7" s="5" t="s">
        <v>449</v>
      </c>
      <c r="H7" s="5"/>
      <c r="I7" s="5"/>
      <c r="J7" s="5"/>
      <c r="K7" s="5"/>
      <c r="L7" s="5" t="s">
        <v>457</v>
      </c>
      <c r="M7" s="5" t="s">
        <v>458</v>
      </c>
    </row>
    <row r="8" ht="15.0" customHeight="1">
      <c r="A8" s="5" t="s">
        <v>249</v>
      </c>
      <c r="B8" s="5"/>
      <c r="C8" s="5"/>
      <c r="D8" s="5"/>
      <c r="E8" s="5"/>
      <c r="F8" s="5" t="s">
        <v>178</v>
      </c>
      <c r="G8" s="5" t="s">
        <v>459</v>
      </c>
      <c r="H8" s="5"/>
      <c r="I8" s="5"/>
      <c r="J8" s="5"/>
      <c r="K8" s="5"/>
      <c r="L8" s="5" t="s">
        <v>460</v>
      </c>
      <c r="M8" s="5"/>
    </row>
    <row r="9" ht="15.0" customHeight="1">
      <c r="A9" s="5" t="s">
        <v>258</v>
      </c>
      <c r="B9" s="5"/>
      <c r="C9" s="5"/>
      <c r="D9" s="5"/>
      <c r="E9" s="5"/>
      <c r="F9" s="5" t="s">
        <v>239</v>
      </c>
      <c r="G9" s="5"/>
      <c r="H9" s="5"/>
      <c r="I9" s="5"/>
      <c r="J9" s="5"/>
      <c r="K9" s="5"/>
      <c r="L9" s="5" t="s">
        <v>461</v>
      </c>
      <c r="M9" s="5"/>
    </row>
    <row r="10" ht="15.0" customHeight="1">
      <c r="A10" s="5" t="s">
        <v>261</v>
      </c>
      <c r="B10" s="5"/>
      <c r="C10" s="5"/>
      <c r="D10" s="5"/>
      <c r="E10" s="5"/>
      <c r="F10" s="5" t="s">
        <v>462</v>
      </c>
      <c r="G10" s="5"/>
      <c r="H10" s="5"/>
      <c r="I10" s="5"/>
      <c r="J10" s="5"/>
      <c r="K10" s="5"/>
      <c r="L10" s="5" t="s">
        <v>461</v>
      </c>
      <c r="M10" s="5"/>
    </row>
    <row r="11" ht="15.0" customHeight="1">
      <c r="A11" s="5" t="s">
        <v>264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ht="15.0" customHeight="1">
      <c r="A12" s="5" t="s">
        <v>267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ht="15.0" customHeight="1">
      <c r="A13" s="5" t="s">
        <v>276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ht="15.0" customHeight="1">
      <c r="A14" s="5" t="s">
        <v>282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ht="15.0" customHeight="1">
      <c r="A15" s="5" t="s">
        <v>288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ht="15.0" customHeight="1">
      <c r="A16" s="5" t="s">
        <v>290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ht="12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printOptions/>
  <pageMargins bottom="1.0" footer="0.0" header="0.0" left="0.75" right="0.75" top="1.0"/>
  <pageSetup paperSize="9" orientation="portrait"/>
  <drawing r:id="rId1"/>
</worksheet>
</file>